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M\Operational Research\PROJECT\"/>
    </mc:Choice>
  </mc:AlternateContent>
  <xr:revisionPtr revIDLastSave="0" documentId="13_ncr:1_{0A7D6202-EE60-4B2A-8DB1-55C2A2C7AFD6}" xr6:coauthVersionLast="47" xr6:coauthVersionMax="47" xr10:uidLastSave="{00000000-0000-0000-0000-000000000000}"/>
  <bookViews>
    <workbookView xWindow="-108" yWindow="-108" windowWidth="23256" windowHeight="12456" xr2:uid="{34699A51-A9EE-4A53-BE27-6A91869D2A8A}"/>
  </bookViews>
  <sheets>
    <sheet name="Base Case" sheetId="2" r:id="rId1"/>
    <sheet name="Single plant Production" sheetId="3" r:id="rId2"/>
    <sheet name="Component Tariff Impact  " sheetId="4" r:id="rId3"/>
    <sheet name="Tariff Grid (Heat Map) " sheetId="5" r:id="rId4"/>
    <sheet name="Supply Disruption" sheetId="6" r:id="rId5"/>
  </sheets>
  <definedNames>
    <definedName name="_xlnm._FilterDatabase" localSheetId="3" hidden="1">'Tariff Grid (Heat Map) '!$B$22:$B$31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6" i="6" l="1"/>
  <c r="G137" i="6"/>
  <c r="G138" i="6"/>
  <c r="G139" i="6"/>
  <c r="G140" i="6"/>
  <c r="G141" i="6"/>
  <c r="G142" i="6"/>
  <c r="G143" i="6"/>
  <c r="G144" i="6"/>
  <c r="G145" i="6"/>
  <c r="G146" i="6"/>
  <c r="G135" i="6"/>
</calcChain>
</file>

<file path=xl/sharedStrings.xml><?xml version="1.0" encoding="utf-8"?>
<sst xmlns="http://schemas.openxmlformats.org/spreadsheetml/2006/main" count="932" uniqueCount="306">
  <si>
    <t>CHN</t>
  </si>
  <si>
    <t>IND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</si>
  <si>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</si>
  <si>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</si>
  <si>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</si>
  <si>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</si>
  <si>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</si>
  <si>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</si>
  <si>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</si>
  <si>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</si>
  <si>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</si>
  <si>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</si>
  <si>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</si>
  <si>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</si>
  <si>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Metric</t>
  </si>
  <si>
    <t>Value</t>
  </si>
  <si>
    <t>Notes</t>
  </si>
  <si>
    <t>Annual total cost</t>
  </si>
  <si>
    <t>Total Production – CHN</t>
  </si>
  <si>
    <t>2,280 units</t>
  </si>
  <si>
    <t>Sum of q(CHN,t)</t>
  </si>
  <si>
    <t>Total Production – IND</t>
  </si>
  <si>
    <t>4,800 units</t>
  </si>
  <si>
    <t>Sum of q(IND,t)</t>
  </si>
  <si>
    <t>Total Production (Total)</t>
  </si>
  <si>
    <t>7,080 units</t>
  </si>
  <si>
    <t>Annual supply</t>
  </si>
  <si>
    <t>Total Shipments – EAST</t>
  </si>
  <si>
    <t>4,000 units</t>
  </si>
  <si>
    <t>Entire EAST demand met by IND</t>
  </si>
  <si>
    <t>Total Shipments – WEST</t>
  </si>
  <si>
    <t>3,080 units</t>
  </si>
  <si>
    <t>CHN + IND shipments</t>
  </si>
  <si>
    <t>Total Shortages (B)</t>
  </si>
  <si>
    <t>0 units</t>
  </si>
  <si>
    <t>All demand met</t>
  </si>
  <si>
    <t>Total Inventory</t>
  </si>
  <si>
    <t>Model uses exact-flow production</t>
  </si>
  <si>
    <t>Month</t>
  </si>
  <si>
    <t>Total</t>
  </si>
  <si>
    <t>Total Cost (Z)</t>
  </si>
  <si>
    <t>Key Metrics</t>
  </si>
  <si>
    <t>Monthly Production Table</t>
  </si>
  <si>
    <t>EAST Demand</t>
  </si>
  <si>
    <t>EAST Shipped</t>
  </si>
  <si>
    <t>WEST Demand</t>
  </si>
  <si>
    <t>WEST Shipped</t>
  </si>
  <si>
    <t>BASE CASE — Monthly Shortages</t>
  </si>
  <si>
    <t>EAST Shortage</t>
  </si>
  <si>
    <t>WEST Shortage</t>
  </si>
  <si>
    <t>Monthly Shipments Table</t>
  </si>
  <si>
    <t>S1 → CHN</t>
  </si>
  <si>
    <t>S2 → IND</t>
  </si>
  <si>
    <t>S1 → IND</t>
  </si>
  <si>
    <t>S2 → CHN</t>
  </si>
  <si>
    <t>BAT (Battery) Purchases</t>
  </si>
  <si>
    <t>MOT (Motor) Purchases</t>
  </si>
  <si>
    <t>PCB (Circuit Board) Purchases</t>
  </si>
  <si>
    <t>CHS (Chassis) Purchases</t>
  </si>
  <si>
    <t>Original</t>
  </si>
  <si>
    <t>New</t>
  </si>
  <si>
    <t>China/India Tariff</t>
  </si>
  <si>
    <r>
      <t xml:space="preserve">All values inside the grid represent the </t>
    </r>
    <r>
      <rPr>
        <b/>
        <sz val="11"/>
        <color theme="1"/>
        <rFont val="Calibri"/>
        <family val="2"/>
        <scheme val="minor"/>
      </rPr>
      <t>optimized total annual cost (USD)</t>
    </r>
    <r>
      <rPr>
        <sz val="11"/>
        <color theme="1"/>
        <rFont val="Calibri"/>
        <family val="2"/>
        <scheme val="minor"/>
      </rPr>
      <t xml:space="preserve"> from the GAMS model.</t>
    </r>
  </si>
  <si>
    <t>Section 1</t>
  </si>
  <si>
    <t>Parameter Grid Description</t>
  </si>
  <si>
    <t>Section 2</t>
  </si>
  <si>
    <t>Table 1. Total Cost Under Different Finished-Goods Tariff Combinations</t>
  </si>
  <si>
    <t>Section 3</t>
  </si>
  <si>
    <t>Interpretation &amp; Insights</t>
  </si>
  <si>
    <t>Heat Map Table</t>
  </si>
  <si>
    <r>
      <t>Total cost increases</t>
    </r>
    <r>
      <rPr>
        <sz val="11"/>
        <color theme="1"/>
        <rFont val="Calibri"/>
        <family val="2"/>
        <scheme val="minor"/>
      </rPr>
      <t xml:space="preserve"> as either China’s or India’s FG tariff increases.</t>
    </r>
  </si>
  <si>
    <r>
      <t xml:space="preserve">When </t>
    </r>
    <r>
      <rPr>
        <b/>
        <sz val="11"/>
        <color theme="1"/>
        <rFont val="Calibri"/>
        <family val="2"/>
        <scheme val="minor"/>
      </rPr>
      <t>China’s tariff is low (0.10)</t>
    </r>
    <r>
      <rPr>
        <sz val="11"/>
        <color theme="1"/>
        <rFont val="Calibri"/>
        <family val="2"/>
        <scheme val="minor"/>
      </rPr>
      <t>:</t>
    </r>
  </si>
  <si>
    <r>
      <t xml:space="preserve">India’s tariff changes have </t>
    </r>
    <r>
      <rPr>
        <b/>
        <sz val="11"/>
        <color theme="1"/>
        <rFont val="Calibri"/>
        <family val="2"/>
        <scheme val="minor"/>
      </rPr>
      <t>almost no effect</t>
    </r>
    <r>
      <rPr>
        <sz val="11"/>
        <color theme="1"/>
        <rFont val="Calibri"/>
        <family val="2"/>
        <scheme val="minor"/>
      </rPr>
      <t>.</t>
    </r>
  </si>
  <si>
    <t>Because India already serves EAST entirely, tariff changes do not change the production-shipping structure.</t>
  </si>
  <si>
    <r>
      <t xml:space="preserve">When </t>
    </r>
    <r>
      <rPr>
        <b/>
        <sz val="11"/>
        <color theme="1"/>
        <rFont val="Calibri"/>
        <family val="2"/>
        <scheme val="minor"/>
      </rPr>
      <t>China’s tariff rises above 0.20</t>
    </r>
    <r>
      <rPr>
        <sz val="11"/>
        <color theme="1"/>
        <rFont val="Calibri"/>
        <family val="2"/>
        <scheme val="minor"/>
      </rPr>
      <t>:</t>
    </r>
  </si>
  <si>
    <r>
      <t xml:space="preserve">India becomes the </t>
    </r>
    <r>
      <rPr>
        <b/>
        <sz val="11"/>
        <color theme="1"/>
        <rFont val="Calibri"/>
        <family val="2"/>
        <scheme val="minor"/>
      </rPr>
      <t>more cost-efficient source of global supply</t>
    </r>
    <r>
      <rPr>
        <sz val="11"/>
        <color theme="1"/>
        <rFont val="Calibri"/>
        <family val="2"/>
        <scheme val="minor"/>
      </rPr>
      <t>.</t>
    </r>
  </si>
  <si>
    <r>
      <t xml:space="preserve">Total cost grows </t>
    </r>
    <r>
      <rPr>
        <b/>
        <sz val="11"/>
        <color theme="1"/>
        <rFont val="Calibri"/>
        <family val="2"/>
        <scheme val="minor"/>
      </rPr>
      <t>slower</t>
    </r>
    <r>
      <rPr>
        <sz val="11"/>
        <color theme="1"/>
        <rFont val="Calibri"/>
        <family val="2"/>
        <scheme val="minor"/>
      </rPr>
      <t>, meaning India absorbs more production due to lower tariffs.</t>
    </r>
  </si>
  <si>
    <r>
      <t>Highest costs</t>
    </r>
    <r>
      <rPr>
        <sz val="11"/>
        <color theme="1"/>
        <rFont val="Calibri"/>
        <family val="2"/>
        <scheme val="minor"/>
      </rPr>
      <t xml:space="preserve"> occur when both China and India have </t>
    </r>
    <r>
      <rPr>
        <b/>
        <sz val="11"/>
        <color theme="1"/>
        <rFont val="Calibri"/>
        <family val="2"/>
        <scheme val="minor"/>
      </rPr>
      <t>high FG tariffs (≥ 0.20)</t>
    </r>
    <r>
      <rPr>
        <sz val="11"/>
        <color theme="1"/>
        <rFont val="Calibri"/>
        <family val="2"/>
        <scheme val="minor"/>
      </rPr>
      <t>.</t>
    </r>
  </si>
  <si>
    <r>
      <t>Lowest costs</t>
    </r>
    <r>
      <rPr>
        <sz val="11"/>
        <color theme="1"/>
        <rFont val="Calibri"/>
        <family val="2"/>
        <scheme val="minor"/>
      </rPr>
      <t xml:space="preserve"> occur when tariffs for both countries are at </t>
    </r>
    <r>
      <rPr>
        <b/>
        <sz val="11"/>
        <color theme="1"/>
        <rFont val="Calibri"/>
        <family val="2"/>
        <scheme val="minor"/>
      </rPr>
      <t>their lowest levels</t>
    </r>
    <r>
      <rPr>
        <sz val="11"/>
        <color theme="1"/>
        <rFont val="Calibri"/>
        <family val="2"/>
        <scheme val="minor"/>
      </rPr>
      <t>.</t>
    </r>
  </si>
  <si>
    <r>
      <t xml:space="preserve">The heat map visually shows how </t>
    </r>
    <r>
      <rPr>
        <b/>
        <sz val="11"/>
        <color theme="1"/>
        <rFont val="Calibri"/>
        <family val="2"/>
        <scheme val="minor"/>
      </rPr>
      <t>tariffs shift the competitive balance</t>
    </r>
    <r>
      <rPr>
        <sz val="11"/>
        <color theme="1"/>
        <rFont val="Calibri"/>
        <family val="2"/>
        <scheme val="minor"/>
      </rPr>
      <t xml:space="preserve"> between the two plants.</t>
    </r>
  </si>
  <si>
    <t>Total Cost</t>
  </si>
  <si>
    <t>Producing Plant</t>
  </si>
  <si>
    <t>India only</t>
  </si>
  <si>
    <t>India Capacity Used</t>
  </si>
  <si>
    <t>400 units/month (100%)</t>
  </si>
  <si>
    <t>Unmet Demand</t>
  </si>
  <si>
    <t>WEST market shortages every month</t>
  </si>
  <si>
    <t>Inventory</t>
  </si>
  <si>
    <t>Key Observation</t>
  </si>
  <si>
    <t>India cannot meet total US demand alone; WEST suffers continuous shortages</t>
  </si>
  <si>
    <t>India Production (IND)</t>
  </si>
  <si>
    <t>Monthly Production (India Only)</t>
  </si>
  <si>
    <t>India → EAST</t>
  </si>
  <si>
    <t>India → WEST</t>
  </si>
  <si>
    <t>Monthly Shipments (India → EAST and India → WEST)</t>
  </si>
  <si>
    <r>
      <t xml:space="preserve"> </t>
    </r>
    <r>
      <rPr>
        <i/>
        <sz val="11"/>
        <color theme="1"/>
        <rFont val="Calibri"/>
        <family val="2"/>
        <scheme val="minor"/>
      </rPr>
      <t>India serves both markets, but WEST receives less than required → shortages.</t>
    </r>
  </si>
  <si>
    <t>Unmet Demand (India Cannot Supply WEST Fully)</t>
  </si>
  <si>
    <t>WEST Unmet Demand</t>
  </si>
  <si>
    <t>Component Purchases (India Only)</t>
  </si>
  <si>
    <t>Units</t>
  </si>
  <si>
    <t>Jan–Dec</t>
  </si>
  <si>
    <t>400 each month</t>
  </si>
  <si>
    <t>BAT Components (Supplier S2 → IND)</t>
  </si>
  <si>
    <t>MOT Components (Supplier S1 → IND)</t>
  </si>
  <si>
    <t>PCB Components (Supplier S1 → IND)</t>
  </si>
  <si>
    <t>800 each month</t>
  </si>
  <si>
    <t>CHS Components (Supplier S2 → IND)</t>
  </si>
  <si>
    <t>Active Plant</t>
  </si>
  <si>
    <t>China only</t>
  </si>
  <si>
    <t>China Capacity Used</t>
  </si>
  <si>
    <t>Up to 600 units/month</t>
  </si>
  <si>
    <r>
      <t>0</t>
    </r>
    <r>
      <rPr>
        <sz val="11"/>
        <color theme="1"/>
        <rFont val="Calibri"/>
        <family val="2"/>
        <scheme val="minor"/>
      </rPr>
      <t xml:space="preserve"> (all demand met)</t>
    </r>
  </si>
  <si>
    <t>Positive inventory in months 2–8</t>
  </si>
  <si>
    <t>Observation</t>
  </si>
  <si>
    <r>
      <t xml:space="preserve">China-only system is </t>
    </r>
    <r>
      <rPr>
        <i/>
        <sz val="11"/>
        <color theme="1"/>
        <rFont val="Calibri"/>
        <family val="2"/>
        <scheme val="minor"/>
      </rPr>
      <t>feasible</t>
    </r>
    <r>
      <rPr>
        <sz val="11"/>
        <color theme="1"/>
        <rFont val="Calibri"/>
        <family val="2"/>
        <scheme val="minor"/>
      </rPr>
      <t xml:space="preserve"> but costly due to higher production costs and U.S. finished-goods tariffs.</t>
    </r>
  </si>
  <si>
    <t>Key Metrix</t>
  </si>
  <si>
    <t>Monthly Production- China only</t>
  </si>
  <si>
    <t>CHN Production</t>
  </si>
  <si>
    <t>Monthly Shipments – China → EAST and China → WEST</t>
  </si>
  <si>
    <t>CHN → EAST</t>
  </si>
  <si>
    <t>CHN → WEST</t>
  </si>
  <si>
    <r>
      <t xml:space="preserve">China meets </t>
    </r>
    <r>
      <rPr>
        <b/>
        <sz val="11"/>
        <color theme="1"/>
        <rFont val="Calibri"/>
        <family val="2"/>
        <scheme val="minor"/>
      </rPr>
      <t>100%</t>
    </r>
    <r>
      <rPr>
        <sz val="11"/>
        <color theme="1"/>
        <rFont val="Calibri"/>
        <family val="2"/>
        <scheme val="minor"/>
      </rPr>
      <t xml:space="preserve"> of both EAST and WEST market demand.</t>
    </r>
  </si>
  <si>
    <t>Inventory Levels</t>
  </si>
  <si>
    <t>CHN Inventory</t>
  </si>
  <si>
    <t>China built up inventory early in the year due to higher production than demand during months 2–8.</t>
  </si>
  <si>
    <t>Component Purchases</t>
  </si>
  <si>
    <t>BAT Components (Supplier S1 → CHN)</t>
  </si>
  <si>
    <t>BAT Purchased</t>
  </si>
  <si>
    <t>MOT Purchased</t>
  </si>
  <si>
    <t>MOT Components (Supplier S2 → CHN)</t>
  </si>
  <si>
    <t>PCB Components (Supplier S2 → CHN)</t>
  </si>
  <si>
    <t>PCB Purchased</t>
  </si>
  <si>
    <t>CHS Components (Supplier S1 → CHN)</t>
  </si>
  <si>
    <t>CHS Purchased</t>
  </si>
  <si>
    <t>1. Scenario Summary</t>
  </si>
  <si>
    <t>Plants Producing</t>
  </si>
  <si>
    <t>CHN (small), IND (full 400)</t>
  </si>
  <si>
    <t>Cost increases due to battery tariff increase</t>
  </si>
  <si>
    <t>2. Monthly Production (q.l)</t>
  </si>
  <si>
    <t>3. Monthly Shipments (x.l)</t>
  </si>
  <si>
    <t>IND → EAST</t>
  </si>
  <si>
    <t>IND → WEST</t>
  </si>
  <si>
    <t>4. Inventory (I.l)</t>
  </si>
  <si>
    <t>5. Unmet Demand (B.l)</t>
  </si>
  <si>
    <t>EAST</t>
  </si>
  <si>
    <t>WEST</t>
  </si>
  <si>
    <t>6. Component Purchases (y.l)</t>
  </si>
  <si>
    <t>BAT Purchases</t>
  </si>
  <si>
    <t>MOT Purchases</t>
  </si>
  <si>
    <t>PCB Purchases</t>
  </si>
  <si>
    <t>CHS Purchases</t>
  </si>
  <si>
    <t>Component</t>
  </si>
  <si>
    <t>Supplier → Plant</t>
  </si>
  <si>
    <t>BAT</t>
  </si>
  <si>
    <t>PCB</t>
  </si>
  <si>
    <t>Production Pattern</t>
  </si>
  <si>
    <t>Same as 3A</t>
  </si>
  <si>
    <t>Cost increases more vs 3A (PCB is used 2× per unit)</t>
  </si>
  <si>
    <t>2. Monthly Production (same as 3A)</t>
  </si>
  <si>
    <t>3. Monthly Shipments (same as 3A)</t>
  </si>
  <si>
    <t>4. Inventory</t>
  </si>
  <si>
    <t>5. Unmet Demand</t>
  </si>
  <si>
    <t>(same as Scenario 3A)</t>
  </si>
  <si>
    <t>MOT</t>
  </si>
  <si>
    <t>PCB (affected)</t>
  </si>
  <si>
    <t>Senario1: BASE CASE</t>
  </si>
  <si>
    <r>
      <t xml:space="preserve">India is the main production hub with </t>
    </r>
    <r>
      <rPr>
        <b/>
        <sz val="11"/>
        <color theme="1"/>
        <rFont val="Calibri"/>
        <family val="2"/>
        <scheme val="minor"/>
      </rPr>
      <t>4800 units/year</t>
    </r>
    <r>
      <rPr>
        <sz val="11"/>
        <color theme="1"/>
        <rFont val="Calibri"/>
        <family val="2"/>
        <scheme val="minor"/>
      </rPr>
      <t>, with lower production and component costs</t>
    </r>
  </si>
  <si>
    <r>
      <t xml:space="preserve">EAST demand is fulfilled </t>
    </r>
    <r>
      <rPr>
        <b/>
        <sz val="11"/>
        <color theme="1"/>
        <rFont val="Calibri"/>
        <family val="2"/>
        <scheme val="minor"/>
      </rPr>
      <t>100%</t>
    </r>
    <r>
      <rPr>
        <sz val="11"/>
        <color theme="1"/>
        <rFont val="Calibri"/>
        <family val="2"/>
        <scheme val="minor"/>
      </rPr>
      <t xml:space="preserve"> by India, while WEST demand is fulfilled jointly by China and India.</t>
    </r>
  </si>
  <si>
    <r>
      <t xml:space="preserve">India maintains a </t>
    </r>
    <r>
      <rPr>
        <b/>
        <sz val="11"/>
        <color theme="1"/>
        <rFont val="Calibri"/>
        <family val="2"/>
        <scheme val="minor"/>
      </rPr>
      <t>steady production rate of 400 units/month</t>
    </r>
    <r>
      <rPr>
        <sz val="11"/>
        <color theme="1"/>
        <rFont val="Calibri"/>
        <family val="2"/>
        <scheme val="minor"/>
      </rPr>
      <t xml:space="preserve"> (full capacity utilization).</t>
    </r>
  </si>
  <si>
    <t>China adjusts production monthly (100–250 units) to cover WEST demand fluctuations.</t>
  </si>
  <si>
    <r>
      <t xml:space="preserve">Production peaks in </t>
    </r>
    <r>
      <rPr>
        <b/>
        <sz val="11"/>
        <color theme="1"/>
        <rFont val="Calibri"/>
        <family val="2"/>
        <scheme val="minor"/>
      </rPr>
      <t>August (650 units)</t>
    </r>
    <r>
      <rPr>
        <sz val="11"/>
        <color theme="1"/>
        <rFont val="Calibri"/>
        <family val="2"/>
        <scheme val="minor"/>
      </rPr>
      <t>, where both markets have their highest demand.</t>
    </r>
  </si>
  <si>
    <r>
      <t xml:space="preserve">India exclusively covers </t>
    </r>
    <r>
      <rPr>
        <b/>
        <sz val="11"/>
        <color theme="1"/>
        <rFont val="Calibri"/>
        <family val="2"/>
        <scheme val="minor"/>
      </rPr>
      <t>EAST demand</t>
    </r>
    <r>
      <rPr>
        <sz val="11"/>
        <color theme="1"/>
        <rFont val="Calibri"/>
        <family val="2"/>
        <scheme val="minor"/>
      </rPr>
      <t>, which is consistent and predictable each month.</t>
    </r>
  </si>
  <si>
    <t>China’s shipments to WEST fluctuate (200–280 units) according to demand variations.</t>
  </si>
  <si>
    <t>India supplements WEST shipments only when needed (e.g., Sept–Dec).</t>
  </si>
  <si>
    <t>Zero shortages across all months for both EAST and WEST markets.</t>
  </si>
  <si>
    <t>Indicates:</t>
  </si>
  <si>
    <t>Production levels are sufficient</t>
  </si>
  <si>
    <t>Routing is optimal</t>
  </si>
  <si>
    <t>China buys from Supplier S1</t>
  </si>
  <si>
    <t>India buys from Supplier S2.</t>
  </si>
  <si>
    <t>China’s purchases fluctuate with production</t>
  </si>
  <si>
    <t>India holds stable purchasing</t>
  </si>
  <si>
    <t>a)</t>
  </si>
  <si>
    <t>b)</t>
  </si>
  <si>
    <t>c)</t>
  </si>
  <si>
    <t>d)</t>
  </si>
  <si>
    <t>China sources from S2.</t>
  </si>
  <si>
    <t xml:space="preserve">India sources from S1 </t>
  </si>
  <si>
    <t xml:space="preserve">Motor sourcing pattern matches monthly </t>
  </si>
  <si>
    <t>production.</t>
  </si>
  <si>
    <r>
      <t xml:space="preserve">INDIA purchases </t>
    </r>
    <r>
      <rPr>
        <b/>
        <sz val="11"/>
        <color theme="1"/>
        <rFont val="Calibri"/>
        <family val="2"/>
        <scheme val="minor"/>
      </rPr>
      <t>800 units every month</t>
    </r>
  </si>
  <si>
    <t>China purchases 200–500 monthl</t>
  </si>
  <si>
    <t>PCB has the highest component</t>
  </si>
  <si>
    <t xml:space="preserve"> volume in the BOM → major cost driver.</t>
  </si>
  <si>
    <t>CHS sourcing exactly matches monthly production.</t>
  </si>
  <si>
    <t>China buys from S1; India buys from S2</t>
  </si>
  <si>
    <t>Scenario 2A: India-Only Production</t>
  </si>
  <si>
    <t>Senario 4: Finished Goods Tariff Grid Analysis (Heat Map)</t>
  </si>
  <si>
    <t>Scenario 3A: Battery Tariff +10%</t>
  </si>
  <si>
    <t>Scenario 3B: PCB Tariff +20%</t>
  </si>
  <si>
    <t>Scenario 2B: China-Only Production</t>
  </si>
  <si>
    <t>Rows = China FG Tariff (Tfg(CHN))</t>
  </si>
  <si>
    <t>Columns = India FG Tariff (Tfg(IND))</t>
  </si>
  <si>
    <t>8,439,965.50 USD</t>
  </si>
  <si>
    <t>IND Production</t>
  </si>
  <si>
    <t>Comment</t>
  </si>
  <si>
    <t>Normal</t>
  </si>
  <si>
    <t>May (5)</t>
  </si>
  <si>
    <t>BAT &amp; PCB disruption begins</t>
  </si>
  <si>
    <t>Jun (6)</t>
  </si>
  <si>
    <t>Jul (7)</t>
  </si>
  <si>
    <t>Recovery to full production</t>
  </si>
  <si>
    <t>Slight PCB constraint</t>
  </si>
  <si>
    <t>Adjustment period</t>
  </si>
  <si>
    <t>Stabilizing</t>
  </si>
  <si>
    <t>Normalizing</t>
  </si>
  <si>
    <t>Shipments From China</t>
  </si>
  <si>
    <t>India helps East</t>
  </si>
  <si>
    <t>Disruption impact begins</t>
  </si>
  <si>
    <t>Prioritizing West</t>
  </si>
  <si>
    <t>Severe shortage for East</t>
  </si>
  <si>
    <t>Recovery</t>
  </si>
  <si>
    <t>Stable</t>
  </si>
  <si>
    <t>Adjusting</t>
  </si>
  <si>
    <t>Shipments From India</t>
  </si>
  <si>
    <t>West market is fully served.</t>
  </si>
  <si>
    <r>
      <t xml:space="preserve">East market suffers temporary shortages in months </t>
    </r>
    <r>
      <rPr>
        <b/>
        <sz val="11"/>
        <color theme="1"/>
        <rFont val="Calibri"/>
        <family val="2"/>
        <scheme val="minor"/>
      </rPr>
      <t>7 &amp; 8</t>
    </r>
    <r>
      <rPr>
        <sz val="11"/>
        <color theme="1"/>
        <rFont val="Calibri"/>
        <family val="2"/>
        <scheme val="minor"/>
      </rPr>
      <t>.</t>
    </r>
  </si>
  <si>
    <t>IND Inventory</t>
  </si>
  <si>
    <t>Inventory buildup</t>
  </si>
  <si>
    <t>Buffer created before disruption</t>
  </si>
  <si>
    <t>Inventory absorbs early shortage</t>
  </si>
  <si>
    <t>Almost exhausted</t>
  </si>
  <si>
    <t>Inventory used up</t>
  </si>
  <si>
    <t>Rebuilding begins</t>
  </si>
  <si>
    <t>Inventory savings prevented shortages until Month 7.</t>
  </si>
  <si>
    <t>Battery (BAT) Purchases — China</t>
  </si>
  <si>
    <t>BAT Purchased (S1+S2)</t>
  </si>
  <si>
    <r>
      <t>180</t>
    </r>
    <r>
      <rPr>
        <sz val="11"/>
        <color theme="1"/>
        <rFont val="Calibri"/>
        <family val="2"/>
        <scheme val="minor"/>
      </rPr>
      <t xml:space="preserve"> (40% supply loss → only 60% available)</t>
    </r>
  </si>
  <si>
    <t>Motor (MOT) Purchases — China</t>
  </si>
  <si>
    <t>PCB Purchases — China</t>
  </si>
  <si>
    <r>
      <t xml:space="preserve">(Reminder: PCB requires </t>
    </r>
    <r>
      <rPr>
        <b/>
        <sz val="11"/>
        <color theme="1"/>
        <rFont val="Calibri"/>
        <family val="2"/>
        <scheme val="minor"/>
      </rPr>
      <t>2 units per product</t>
    </r>
    <r>
      <rPr>
        <sz val="11"/>
        <color theme="1"/>
        <rFont val="Calibri"/>
        <family val="2"/>
        <scheme val="minor"/>
      </rPr>
      <t>)</t>
    </r>
  </si>
  <si>
    <t>CHS Purchases — China</t>
  </si>
  <si>
    <t>2.6 Summary Observations</t>
  </si>
  <si>
    <r>
      <t>Disruption Months (5–7)</t>
    </r>
    <r>
      <rPr>
        <sz val="11"/>
        <color theme="1"/>
        <rFont val="Calibri"/>
        <family val="2"/>
        <scheme val="minor"/>
      </rPr>
      <t xml:space="preserve"> → Production drops from </t>
    </r>
    <r>
      <rPr>
        <b/>
        <sz val="11"/>
        <color theme="1"/>
        <rFont val="Calibri"/>
        <family val="2"/>
        <scheme val="minor"/>
      </rPr>
      <t>600 → 180 units</t>
    </r>
    <r>
      <rPr>
        <sz val="11"/>
        <color theme="1"/>
        <rFont val="Calibri"/>
        <family val="2"/>
        <scheme val="minor"/>
      </rPr>
      <t>.</t>
    </r>
  </si>
  <si>
    <r>
      <t>PCB shortage is the most binding constraint</t>
    </r>
    <r>
      <rPr>
        <sz val="11"/>
        <color theme="1"/>
        <rFont val="Calibri"/>
        <family val="2"/>
        <scheme val="minor"/>
      </rPr>
      <t xml:space="preserve"> (2 units per finished product).</t>
    </r>
  </si>
  <si>
    <r>
      <t>Inventory strategy</t>
    </r>
    <r>
      <rPr>
        <sz val="11"/>
        <color theme="1"/>
        <rFont val="Calibri"/>
        <family val="2"/>
        <scheme val="minor"/>
      </rPr>
      <t xml:space="preserve"> delays shortages until Month 7.</t>
    </r>
  </si>
  <si>
    <r>
      <t>East market experiences total 255 units unmet demand</t>
    </r>
    <r>
      <rPr>
        <sz val="11"/>
        <color theme="1"/>
        <rFont val="Calibri"/>
        <family val="2"/>
        <scheme val="minor"/>
      </rPr>
      <t>.</t>
    </r>
  </si>
  <si>
    <r>
      <t>Total system cost increases by ≈ $1.32M compared to base case</t>
    </r>
    <r>
      <rPr>
        <sz val="11"/>
        <color theme="1"/>
        <rFont val="Calibri"/>
        <family val="2"/>
        <scheme val="minor"/>
      </rPr>
      <t>.</t>
    </r>
  </si>
  <si>
    <t>India production is capped and cannot compensate.</t>
  </si>
  <si>
    <t>System stabilizes by Month 9–10.</t>
  </si>
  <si>
    <t>Active Plants</t>
  </si>
  <si>
    <t>China + India (India limited to 125 units/month)</t>
  </si>
  <si>
    <t>China accumulates inventory in Months 1–4; exhausted in Month 7</t>
  </si>
  <si>
    <t>Disruption causes production collapse in China, 
backlog formation, and high shortage penalties.
 Supply chain recovers but slowly.</t>
  </si>
  <si>
    <r>
      <t xml:space="preserve">600 units normally; drops to </t>
    </r>
    <r>
      <rPr>
        <sz val="11"/>
        <color theme="1"/>
        <rFont val="Calibri"/>
        <family val="2"/>
        <scheme val="minor"/>
      </rPr>
      <t>180 units in disruption months</t>
    </r>
  </si>
  <si>
    <r>
      <t xml:space="preserve">Constant </t>
    </r>
    <r>
      <rPr>
        <sz val="11"/>
        <color theme="1"/>
        <rFont val="Calibri"/>
        <family val="2"/>
        <scheme val="minor"/>
      </rPr>
      <t>125 units (at full cap every month)</t>
    </r>
  </si>
  <si>
    <r>
      <t>255 units total</t>
    </r>
    <r>
      <rPr>
        <sz val="11"/>
        <color theme="1"/>
        <rFont val="Calibri"/>
        <family val="2"/>
        <scheme val="minor"/>
      </rPr>
      <t xml:space="preserve"> (East market only, in Months 7 &amp; 8)</t>
    </r>
  </si>
  <si>
    <t>Monthly Production — CHINA + INDIA</t>
  </si>
  <si>
    <t>Monthly Shipments — China &amp; India → EAST and WEST</t>
  </si>
  <si>
    <t>Inventory Levels — China &amp; India</t>
  </si>
  <si>
    <t>Component Purchases (y) — CHINA + INDIA</t>
  </si>
  <si>
    <t>5.3.1</t>
  </si>
  <si>
    <t>5.3.2</t>
  </si>
  <si>
    <t>Unmet demands</t>
  </si>
  <si>
    <t>70% reduction → only 30% available</t>
  </si>
  <si>
    <t>S1.CHN</t>
  </si>
  <si>
    <t>S1.IND</t>
  </si>
  <si>
    <t>S2.CHN</t>
  </si>
  <si>
    <t>S2.IND</t>
  </si>
  <si>
    <t>Months</t>
  </si>
  <si>
    <t>CHS</t>
  </si>
  <si>
    <r>
      <t xml:space="preserve">China normally buys </t>
    </r>
    <r>
      <rPr>
        <b/>
        <sz val="11"/>
        <color theme="1"/>
        <rFont val="Calibri"/>
        <family val="2"/>
        <scheme val="minor"/>
      </rPr>
      <t>300 each</t>
    </r>
    <r>
      <rPr>
        <sz val="11"/>
        <color theme="1"/>
        <rFont val="Calibri"/>
        <family val="2"/>
        <scheme val="minor"/>
      </rPr>
      <t xml:space="preserve"> from S1 &amp; S2</t>
    </r>
  </si>
  <si>
    <r>
      <t xml:space="preserve">India buys only </t>
    </r>
    <r>
      <rPr>
        <b/>
        <sz val="11"/>
        <color theme="1"/>
        <rFont val="Calibri"/>
        <family val="2"/>
        <scheme val="minor"/>
      </rPr>
      <t>25 + 100</t>
    </r>
    <r>
      <rPr>
        <sz val="11"/>
        <color theme="1"/>
        <rFont val="Calibri"/>
        <family val="2"/>
        <scheme val="minor"/>
      </rPr>
      <t xml:space="preserve"> = 125</t>
    </r>
  </si>
  <si>
    <r>
      <t xml:space="preserve">In disruption months (May–Jul), China’s S2.CHN supply drops to </t>
    </r>
    <r>
      <rPr>
        <b/>
        <sz val="11"/>
        <color theme="1"/>
        <rFont val="Calibri"/>
        <family val="2"/>
        <scheme val="minor"/>
      </rPr>
      <t>0</t>
    </r>
  </si>
  <si>
    <t>This exactly matches the BAT disruption scenario.</t>
  </si>
  <si>
    <t>Scenario5: 40% Battery and 70% PCB Supply Disruption in China (Months 5–7)</t>
  </si>
  <si>
    <t>7,142,012.75 USD</t>
  </si>
  <si>
    <t>China Production Range</t>
  </si>
  <si>
    <t>390 → 525 units/month</t>
  </si>
  <si>
    <t>India Production</t>
  </si>
  <si>
    <r>
      <t xml:space="preserve">Constant </t>
    </r>
    <r>
      <rPr>
        <b/>
        <sz val="11"/>
        <color theme="1"/>
        <rFont val="Calibri"/>
        <family val="2"/>
        <scheme val="minor"/>
      </rPr>
      <t>125 units/month</t>
    </r>
  </si>
  <si>
    <t>Total Production</t>
  </si>
  <si>
    <t>China: 5,280 units / India: 1,500 units</t>
  </si>
  <si>
    <t>0 units (all markets fully served)</t>
  </si>
  <si>
    <t>Only 15 units in India (Month 1)</t>
  </si>
  <si>
    <t>Disruption</t>
  </si>
  <si>
    <r>
      <t xml:space="preserve">None – this is the </t>
    </r>
    <r>
      <rPr>
        <b/>
        <sz val="11"/>
        <color theme="1"/>
        <rFont val="Calibri"/>
        <family val="2"/>
        <scheme val="minor"/>
      </rPr>
      <t>base case</t>
    </r>
  </si>
  <si>
    <t>Observations</t>
  </si>
  <si>
    <t>China adjusts production dynamically to meet varying demand; system meets all demand with no shortages</t>
  </si>
  <si>
    <t>99% Service Level (High Reliability)</t>
  </si>
  <si>
    <t>95% Service Level (Baseline)</t>
  </si>
  <si>
    <t>Savings vs Base Case ($7.07M)</t>
  </si>
  <si>
    <t>Total Production - CHN</t>
  </si>
  <si>
    <t>2,110 units</t>
  </si>
  <si>
    <t>1,831 units</t>
  </si>
  <si>
    <t>Shipments – EAST</t>
  </si>
  <si>
    <t>4,025 units (from IND)</t>
  </si>
  <si>
    <t>Shipments – WEST</t>
  </si>
  <si>
    <t>2,885 units</t>
  </si>
  <si>
    <t>2,606 units</t>
  </si>
  <si>
    <t>Shortages</t>
  </si>
  <si>
    <t>74 units</t>
  </si>
  <si>
    <t>349 units</t>
  </si>
  <si>
    <t>Emissions</t>
  </si>
  <si>
    <t>2,952 tons</t>
  </si>
  <si>
    <t>2,812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</si>
</sst>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onsolas"/>
      <family val="3"/>
    </font>
    <font>
      <sz val="8"/>
      <color theme="9" tint="-0.249977111117893"/>
      <name val="Consolas"/>
      <family val="3"/>
    </font>
    <font>
      <sz val="11"/>
      <color theme="9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0" fillId="0" borderId="1" xfId="0" applyBorder="1"/>
    <xf numFmtId="0" fontId="12" fillId="0" borderId="0" xfId="0" applyFont="1"/>
    <xf numFmtId="0" fontId="13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8" fontId="1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1" fillId="0" borderId="1" xfId="0" applyFont="1" applyBorder="1"/>
    <xf numFmtId="0" fontId="14" fillId="4" borderId="1" xfId="0" applyFont="1" applyFill="1" applyBorder="1"/>
    <xf numFmtId="0" fontId="0" fillId="0" borderId="1" xfId="0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8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164" fontId="0" fillId="0" borderId="0" xfId="0" applyNumberFormat="1" applyBorder="1"/>
    <xf numFmtId="0" fontId="15" fillId="0" borderId="1" xfId="0" applyFont="1" applyBorder="1" applyAlignment="1">
      <alignment vertical="center" wrapText="1"/>
    </xf>
    <xf numFmtId="6" fontId="1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'Supply Disruption'!$C$19</c:f>
              <c:strCache>
                <c:ptCount val="1"/>
                <c:pt idx="0">
                  <c:v>CHN Production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'Supply Disruption'!$B$20:$B$31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'Supply Disruption'!$C$20:$C$31</c:f>
              <c:numCache>
                <c:formatCode>General</c:formatCode>
                <c:ptCount val="12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600</c:v>
                </c:pt>
                <c:pt idx="8">
                  <c:v>595</c:v>
                </c:pt>
                <c:pt idx="9">
                  <c:v>475</c:v>
                </c:pt>
                <c:pt idx="10">
                  <c:v>445</c:v>
                </c:pt>
                <c:pt idx="11">
                  <c:v>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2-412F-AB79-AF96965288A5}"/>
            </c:ext>
          </c:extLst>
        </c:ser>
        <c:ser>
          <c:idx val="1"/>
          <c:order val="1"/>
          <c:tx>
            <c:strRef>
              <c:f>'Supply Disruption'!$D$19</c:f>
              <c:strCache>
                <c:ptCount val="1"/>
                <c:pt idx="0">
                  <c:v>IND Production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'Supply Disruption'!$B$20:$B$31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'Supply Disruption'!$D$20:$D$31</c:f>
              <c:numCache>
                <c:formatCode>General</c:formatCode>
                <c:ptCount val="12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2-412F-AB79-AF96965288A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715344"/>
        <c:axId val="1776706704"/>
      </c:lineChart>
      <c:catAx>
        <c:axId val="177671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706704"/>
        <c:crosses val="autoZero"/>
        <c:auto val="1"/>
        <c:lblAlgn val="ctr"/>
        <c:lblOffset val="100"/>
        <c:noMultiLvlLbl val="0"/>
      </c:catAx>
      <c:valAx>
        <c:axId val="17767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71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17</xdr:row>
      <xdr:rowOff>156210</xdr:rowOff>
    </xdr:from>
    <xdr:to>
      <xdr:col>15</xdr:col>
      <xdr:colOff>792480</xdr:colOff>
      <xdr:row>31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248016-C598-39BC-B746-E67F25A13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F572-A7FA-450E-A9C1-B31F6E27D742}">
  <dimension ref="A2:R97"/>
  <sheetViews>
    <sheetView tabSelected="1" topLeftCell="A81" workbookViewId="0">
      <selection activeCell="F59" sqref="F59"/>
    </sheetView>
  </sheetViews>
  <sheetFormatPr defaultRowHeight="14.4" x14ac:dyDescent="0.3"/>
  <cols>
    <col min="2" max="2" width="17" customWidth="1"/>
    <col min="3" max="3" width="11.33203125" customWidth="1"/>
    <col min="4" max="4" width="11.6640625" customWidth="1"/>
    <col min="5" max="5" width="11.109375" customWidth="1"/>
    <col min="7" max="7" width="8.77734375" bestFit="1" customWidth="1"/>
    <col min="8" max="8" width="11.6640625" bestFit="1" customWidth="1"/>
    <col min="12" max="12" width="11.44140625" customWidth="1"/>
    <col min="15" max="15" width="11.5546875" customWidth="1"/>
    <col min="16" max="16" width="14.5546875" customWidth="1"/>
  </cols>
  <sheetData>
    <row r="2" spans="1:17" s="1" customFormat="1" ht="25.8" x14ac:dyDescent="0.5">
      <c r="A2" s="26" t="s">
        <v>165</v>
      </c>
      <c r="B2" s="2"/>
    </row>
    <row r="3" spans="1:17" x14ac:dyDescent="0.3">
      <c r="B3" s="3"/>
    </row>
    <row r="4" spans="1:17" x14ac:dyDescent="0.3">
      <c r="B4" s="3"/>
    </row>
    <row r="5" spans="1:17" ht="18" x14ac:dyDescent="0.35">
      <c r="A5" s="39">
        <v>1.1000000000000001</v>
      </c>
      <c r="B5" s="40" t="s">
        <v>41</v>
      </c>
    </row>
    <row r="6" spans="1:17" x14ac:dyDescent="0.3">
      <c r="B6" s="3"/>
    </row>
    <row r="7" spans="1:17" x14ac:dyDescent="0.3">
      <c r="B7" s="52" t="s">
        <v>14</v>
      </c>
      <c r="C7" s="53"/>
      <c r="D7" s="4" t="s">
        <v>15</v>
      </c>
      <c r="E7" s="52" t="s">
        <v>16</v>
      </c>
      <c r="F7" s="53"/>
      <c r="P7" s="46" t="s">
        <v>14</v>
      </c>
      <c r="Q7" s="46" t="s">
        <v>15</v>
      </c>
    </row>
    <row r="8" spans="1:17" x14ac:dyDescent="0.3">
      <c r="B8" s="54" t="s">
        <v>40</v>
      </c>
      <c r="C8" s="55"/>
      <c r="D8" s="6">
        <v>7074554.5</v>
      </c>
      <c r="E8" s="51" t="s">
        <v>17</v>
      </c>
      <c r="F8" s="51"/>
      <c r="P8" s="32" t="s">
        <v>40</v>
      </c>
      <c r="Q8" s="24" t="s">
        <v>276</v>
      </c>
    </row>
    <row r="9" spans="1:17" ht="28.8" customHeight="1" x14ac:dyDescent="0.3">
      <c r="B9" s="54" t="s">
        <v>18</v>
      </c>
      <c r="C9" s="55"/>
      <c r="D9" s="5" t="s">
        <v>19</v>
      </c>
      <c r="E9" s="51" t="s">
        <v>20</v>
      </c>
      <c r="F9" s="51"/>
      <c r="P9" s="32" t="s">
        <v>277</v>
      </c>
      <c r="Q9" s="32" t="s">
        <v>278</v>
      </c>
    </row>
    <row r="10" spans="1:17" ht="14.4" customHeight="1" x14ac:dyDescent="0.3">
      <c r="B10" s="54" t="s">
        <v>21</v>
      </c>
      <c r="C10" s="55"/>
      <c r="D10" s="5" t="s">
        <v>22</v>
      </c>
      <c r="E10" s="51" t="s">
        <v>23</v>
      </c>
      <c r="F10" s="51"/>
      <c r="P10" s="32" t="s">
        <v>279</v>
      </c>
      <c r="Q10" s="32" t="s">
        <v>280</v>
      </c>
    </row>
    <row r="11" spans="1:17" ht="14.4" customHeight="1" x14ac:dyDescent="0.3">
      <c r="B11" s="54" t="s">
        <v>24</v>
      </c>
      <c r="C11" s="55"/>
      <c r="D11" s="5" t="s">
        <v>25</v>
      </c>
      <c r="E11" s="51" t="s">
        <v>26</v>
      </c>
      <c r="F11" s="51"/>
      <c r="P11" s="32" t="s">
        <v>281</v>
      </c>
      <c r="Q11" s="32" t="s">
        <v>282</v>
      </c>
    </row>
    <row r="12" spans="1:17" ht="14.4" customHeight="1" x14ac:dyDescent="0.3">
      <c r="B12" s="54" t="s">
        <v>27</v>
      </c>
      <c r="C12" s="55"/>
      <c r="D12" s="5" t="s">
        <v>28</v>
      </c>
      <c r="E12" s="51" t="s">
        <v>29</v>
      </c>
      <c r="F12" s="51"/>
      <c r="P12" s="32" t="s">
        <v>85</v>
      </c>
      <c r="Q12" s="24" t="s">
        <v>283</v>
      </c>
    </row>
    <row r="13" spans="1:17" ht="14.4" customHeight="1" x14ac:dyDescent="0.3">
      <c r="B13" s="54" t="s">
        <v>30</v>
      </c>
      <c r="C13" s="55"/>
      <c r="D13" s="5" t="s">
        <v>31</v>
      </c>
      <c r="E13" s="51" t="s">
        <v>32</v>
      </c>
      <c r="F13" s="51"/>
      <c r="P13" s="32" t="s">
        <v>87</v>
      </c>
      <c r="Q13" s="32" t="s">
        <v>284</v>
      </c>
    </row>
    <row r="14" spans="1:17" x14ac:dyDescent="0.3">
      <c r="B14" s="54" t="s">
        <v>33</v>
      </c>
      <c r="C14" s="55"/>
      <c r="D14" s="5" t="s">
        <v>34</v>
      </c>
      <c r="E14" s="51" t="s">
        <v>35</v>
      </c>
      <c r="F14" s="51"/>
      <c r="P14" s="32" t="s">
        <v>285</v>
      </c>
      <c r="Q14" s="32" t="s">
        <v>286</v>
      </c>
    </row>
    <row r="15" spans="1:17" x14ac:dyDescent="0.3">
      <c r="B15" s="54" t="s">
        <v>36</v>
      </c>
      <c r="C15" s="55"/>
      <c r="D15" s="5" t="s">
        <v>34</v>
      </c>
      <c r="E15" s="51" t="s">
        <v>37</v>
      </c>
      <c r="F15" s="51"/>
      <c r="P15" s="32" t="s">
        <v>287</v>
      </c>
      <c r="Q15" s="32" t="s">
        <v>288</v>
      </c>
    </row>
    <row r="16" spans="1:17" x14ac:dyDescent="0.3">
      <c r="B16" s="41"/>
      <c r="C16" s="41"/>
      <c r="D16" s="30"/>
      <c r="E16" s="41"/>
      <c r="F16" s="41"/>
    </row>
    <row r="17" spans="1:7" x14ac:dyDescent="0.3">
      <c r="B17" s="42" t="s">
        <v>166</v>
      </c>
      <c r="C17" s="41"/>
      <c r="D17" s="30"/>
      <c r="E17" s="41"/>
      <c r="F17" s="41"/>
    </row>
    <row r="18" spans="1:7" x14ac:dyDescent="0.3">
      <c r="B18" s="42" t="s">
        <v>167</v>
      </c>
      <c r="C18" s="42"/>
      <c r="D18" s="24"/>
      <c r="E18" s="42"/>
      <c r="F18" s="42"/>
    </row>
    <row r="19" spans="1:7" x14ac:dyDescent="0.3">
      <c r="B19" s="42"/>
      <c r="C19" s="42"/>
      <c r="D19" s="24"/>
      <c r="E19" s="42"/>
      <c r="F19" s="42"/>
    </row>
    <row r="20" spans="1:7" x14ac:dyDescent="0.3">
      <c r="B20" s="42"/>
      <c r="C20" s="42"/>
      <c r="D20" s="24"/>
      <c r="E20" s="42"/>
      <c r="F20" s="42"/>
    </row>
    <row r="21" spans="1:7" x14ac:dyDescent="0.3">
      <c r="B21" s="3"/>
    </row>
    <row r="22" spans="1:7" ht="18" x14ac:dyDescent="0.35">
      <c r="A22" s="39">
        <v>1.2</v>
      </c>
      <c r="B22" s="40" t="s">
        <v>42</v>
      </c>
    </row>
    <row r="23" spans="1:7" ht="15" thickBot="1" x14ac:dyDescent="0.35"/>
    <row r="24" spans="1:7" ht="15" thickBot="1" x14ac:dyDescent="0.35">
      <c r="B24" s="12" t="s">
        <v>38</v>
      </c>
      <c r="C24" s="13" t="s">
        <v>0</v>
      </c>
      <c r="D24" s="13" t="s">
        <v>1</v>
      </c>
      <c r="E24" s="14" t="s">
        <v>39</v>
      </c>
      <c r="G24" t="s">
        <v>168</v>
      </c>
    </row>
    <row r="25" spans="1:7" x14ac:dyDescent="0.3">
      <c r="B25" s="16" t="s">
        <v>2</v>
      </c>
      <c r="C25" s="15">
        <v>100</v>
      </c>
      <c r="D25" s="15">
        <v>400</v>
      </c>
      <c r="E25" s="11">
        <v>500</v>
      </c>
    </row>
    <row r="26" spans="1:7" x14ac:dyDescent="0.3">
      <c r="B26" s="17" t="s">
        <v>3</v>
      </c>
      <c r="C26" s="7">
        <v>140</v>
      </c>
      <c r="D26" s="7">
        <v>400</v>
      </c>
      <c r="E26" s="8">
        <v>540</v>
      </c>
      <c r="G26" t="s">
        <v>169</v>
      </c>
    </row>
    <row r="27" spans="1:7" x14ac:dyDescent="0.3">
      <c r="B27" s="17" t="s">
        <v>4</v>
      </c>
      <c r="C27" s="7">
        <v>150</v>
      </c>
      <c r="D27" s="7">
        <v>400</v>
      </c>
      <c r="E27" s="8">
        <v>550</v>
      </c>
    </row>
    <row r="28" spans="1:7" x14ac:dyDescent="0.3">
      <c r="B28" s="17" t="s">
        <v>5</v>
      </c>
      <c r="C28" s="7">
        <v>160</v>
      </c>
      <c r="D28" s="7">
        <v>400</v>
      </c>
      <c r="E28" s="8">
        <v>560</v>
      </c>
      <c r="G28" t="s">
        <v>170</v>
      </c>
    </row>
    <row r="29" spans="1:7" x14ac:dyDescent="0.3">
      <c r="B29" s="17" t="s">
        <v>6</v>
      </c>
      <c r="C29" s="7">
        <v>190</v>
      </c>
      <c r="D29" s="7">
        <v>400</v>
      </c>
      <c r="E29" s="8">
        <v>590</v>
      </c>
    </row>
    <row r="30" spans="1:7" x14ac:dyDescent="0.3">
      <c r="B30" s="17" t="s">
        <v>7</v>
      </c>
      <c r="C30" s="7">
        <v>220</v>
      </c>
      <c r="D30" s="7">
        <v>400</v>
      </c>
      <c r="E30" s="8">
        <v>620</v>
      </c>
    </row>
    <row r="31" spans="1:7" x14ac:dyDescent="0.3">
      <c r="B31" s="17" t="s">
        <v>8</v>
      </c>
      <c r="C31" s="7">
        <v>220</v>
      </c>
      <c r="D31" s="7">
        <v>400</v>
      </c>
      <c r="E31" s="8">
        <v>620</v>
      </c>
    </row>
    <row r="32" spans="1:7" x14ac:dyDescent="0.3">
      <c r="B32" s="17" t="s">
        <v>9</v>
      </c>
      <c r="C32" s="7">
        <v>250</v>
      </c>
      <c r="D32" s="7">
        <v>400</v>
      </c>
      <c r="E32" s="8">
        <v>650</v>
      </c>
    </row>
    <row r="33" spans="1:8" x14ac:dyDescent="0.3">
      <c r="B33" s="17" t="s">
        <v>10</v>
      </c>
      <c r="C33" s="7">
        <v>230</v>
      </c>
      <c r="D33" s="7">
        <v>400</v>
      </c>
      <c r="E33" s="8">
        <v>630</v>
      </c>
    </row>
    <row r="34" spans="1:8" x14ac:dyDescent="0.3">
      <c r="B34" s="17" t="s">
        <v>11</v>
      </c>
      <c r="C34" s="7">
        <v>200</v>
      </c>
      <c r="D34" s="7">
        <v>400</v>
      </c>
      <c r="E34" s="8">
        <v>600</v>
      </c>
    </row>
    <row r="35" spans="1:8" x14ac:dyDescent="0.3">
      <c r="B35" s="17" t="s">
        <v>12</v>
      </c>
      <c r="C35" s="7">
        <v>170</v>
      </c>
      <c r="D35" s="7">
        <v>400</v>
      </c>
      <c r="E35" s="8">
        <v>570</v>
      </c>
    </row>
    <row r="36" spans="1:8" ht="15" thickBot="1" x14ac:dyDescent="0.35">
      <c r="B36" s="18" t="s">
        <v>13</v>
      </c>
      <c r="C36" s="9">
        <v>150</v>
      </c>
      <c r="D36" s="9">
        <v>400</v>
      </c>
      <c r="E36" s="10">
        <v>550</v>
      </c>
    </row>
    <row r="40" spans="1:8" ht="18" x14ac:dyDescent="0.35">
      <c r="A40" s="39">
        <v>1.3</v>
      </c>
      <c r="B40" s="40" t="s">
        <v>50</v>
      </c>
    </row>
    <row r="42" spans="1:8" ht="28.8" x14ac:dyDescent="0.3">
      <c r="B42" s="4" t="s">
        <v>38</v>
      </c>
      <c r="C42" s="4" t="s">
        <v>43</v>
      </c>
      <c r="D42" s="4" t="s">
        <v>44</v>
      </c>
      <c r="E42" s="4" t="s">
        <v>45</v>
      </c>
      <c r="F42" s="4" t="s">
        <v>46</v>
      </c>
      <c r="H42" t="s">
        <v>171</v>
      </c>
    </row>
    <row r="43" spans="1:8" x14ac:dyDescent="0.3">
      <c r="B43" s="7" t="s">
        <v>2</v>
      </c>
      <c r="C43" s="7">
        <v>300</v>
      </c>
      <c r="D43" s="7">
        <v>300</v>
      </c>
      <c r="E43" s="7">
        <v>200</v>
      </c>
      <c r="F43" s="7">
        <v>200</v>
      </c>
    </row>
    <row r="44" spans="1:8" x14ac:dyDescent="0.3">
      <c r="B44" s="7" t="s">
        <v>3</v>
      </c>
      <c r="C44" s="7">
        <v>320</v>
      </c>
      <c r="D44" s="7">
        <v>320</v>
      </c>
      <c r="E44" s="7">
        <v>220</v>
      </c>
      <c r="F44" s="7">
        <v>220</v>
      </c>
      <c r="H44" t="s">
        <v>172</v>
      </c>
    </row>
    <row r="45" spans="1:8" x14ac:dyDescent="0.3">
      <c r="B45" s="7" t="s">
        <v>4</v>
      </c>
      <c r="C45" s="7">
        <v>310</v>
      </c>
      <c r="D45" s="7">
        <v>310</v>
      </c>
      <c r="E45" s="7">
        <v>240</v>
      </c>
      <c r="F45" s="7">
        <v>240</v>
      </c>
    </row>
    <row r="46" spans="1:8" x14ac:dyDescent="0.3">
      <c r="B46" s="7" t="s">
        <v>5</v>
      </c>
      <c r="C46" s="7">
        <v>330</v>
      </c>
      <c r="D46" s="7">
        <v>330</v>
      </c>
      <c r="E46" s="7">
        <v>230</v>
      </c>
      <c r="F46" s="7">
        <v>230</v>
      </c>
      <c r="H46" t="s">
        <v>173</v>
      </c>
    </row>
    <row r="47" spans="1:8" x14ac:dyDescent="0.3">
      <c r="B47" s="7" t="s">
        <v>6</v>
      </c>
      <c r="C47" s="7">
        <v>340</v>
      </c>
      <c r="D47" s="7">
        <v>340</v>
      </c>
      <c r="E47" s="7">
        <v>250</v>
      </c>
      <c r="F47" s="7">
        <v>250</v>
      </c>
    </row>
    <row r="48" spans="1:8" x14ac:dyDescent="0.3">
      <c r="B48" s="7" t="s">
        <v>7</v>
      </c>
      <c r="C48" s="7">
        <v>350</v>
      </c>
      <c r="D48" s="7">
        <v>350</v>
      </c>
      <c r="E48" s="7">
        <v>270</v>
      </c>
      <c r="F48" s="7">
        <v>270</v>
      </c>
    </row>
    <row r="49" spans="1:8" x14ac:dyDescent="0.3">
      <c r="B49" s="7" t="s">
        <v>8</v>
      </c>
      <c r="C49" s="7">
        <v>360</v>
      </c>
      <c r="D49" s="7">
        <v>360</v>
      </c>
      <c r="E49" s="7">
        <v>260</v>
      </c>
      <c r="F49" s="7">
        <v>260</v>
      </c>
    </row>
    <row r="50" spans="1:8" x14ac:dyDescent="0.3">
      <c r="B50" s="7" t="s">
        <v>9</v>
      </c>
      <c r="C50" s="7">
        <v>370</v>
      </c>
      <c r="D50" s="7">
        <v>370</v>
      </c>
      <c r="E50" s="7">
        <v>280</v>
      </c>
      <c r="F50" s="7">
        <v>280</v>
      </c>
    </row>
    <row r="51" spans="1:8" x14ac:dyDescent="0.3">
      <c r="B51" s="7" t="s">
        <v>10</v>
      </c>
      <c r="C51" s="7">
        <v>355</v>
      </c>
      <c r="D51" s="7">
        <v>355</v>
      </c>
      <c r="E51" s="7">
        <v>275</v>
      </c>
      <c r="F51" s="7">
        <v>275</v>
      </c>
    </row>
    <row r="52" spans="1:8" x14ac:dyDescent="0.3">
      <c r="B52" s="7" t="s">
        <v>11</v>
      </c>
      <c r="C52" s="7">
        <v>340</v>
      </c>
      <c r="D52" s="7">
        <v>340</v>
      </c>
      <c r="E52" s="7">
        <v>260</v>
      </c>
      <c r="F52" s="7">
        <v>260</v>
      </c>
    </row>
    <row r="53" spans="1:8" x14ac:dyDescent="0.3">
      <c r="B53" s="7" t="s">
        <v>12</v>
      </c>
      <c r="C53" s="7">
        <v>330</v>
      </c>
      <c r="D53" s="7">
        <v>330</v>
      </c>
      <c r="E53" s="7">
        <v>240</v>
      </c>
      <c r="F53" s="7">
        <v>240</v>
      </c>
    </row>
    <row r="54" spans="1:8" x14ac:dyDescent="0.3">
      <c r="B54" s="7" t="s">
        <v>13</v>
      </c>
      <c r="C54" s="7">
        <v>320</v>
      </c>
      <c r="D54" s="7">
        <v>320</v>
      </c>
      <c r="E54" s="7">
        <v>230</v>
      </c>
      <c r="F54" s="7">
        <v>230</v>
      </c>
    </row>
    <row r="59" spans="1:8" ht="18" x14ac:dyDescent="0.35">
      <c r="A59" s="39">
        <v>1.4</v>
      </c>
      <c r="B59" s="40" t="s">
        <v>47</v>
      </c>
    </row>
    <row r="61" spans="1:8" ht="28.8" x14ac:dyDescent="0.3">
      <c r="B61" s="4" t="s">
        <v>38</v>
      </c>
      <c r="C61" s="4" t="s">
        <v>48</v>
      </c>
      <c r="D61" s="4" t="s">
        <v>49</v>
      </c>
      <c r="E61" s="4" t="s">
        <v>39</v>
      </c>
    </row>
    <row r="62" spans="1:8" x14ac:dyDescent="0.3">
      <c r="B62" s="7" t="s">
        <v>2</v>
      </c>
      <c r="C62" s="7">
        <v>0</v>
      </c>
      <c r="D62" s="7">
        <v>0</v>
      </c>
      <c r="E62" s="7">
        <v>0</v>
      </c>
      <c r="G62" t="s">
        <v>174</v>
      </c>
    </row>
    <row r="63" spans="1:8" x14ac:dyDescent="0.3">
      <c r="B63" s="7" t="s">
        <v>3</v>
      </c>
      <c r="C63" s="7">
        <v>0</v>
      </c>
      <c r="D63" s="7">
        <v>0</v>
      </c>
      <c r="E63" s="7">
        <v>0</v>
      </c>
      <c r="G63" t="s">
        <v>175</v>
      </c>
      <c r="H63" s="29" t="s">
        <v>176</v>
      </c>
    </row>
    <row r="64" spans="1:8" x14ac:dyDescent="0.3">
      <c r="B64" s="7" t="s">
        <v>4</v>
      </c>
      <c r="C64" s="7">
        <v>0</v>
      </c>
      <c r="D64" s="7">
        <v>0</v>
      </c>
      <c r="E64" s="7">
        <v>0</v>
      </c>
      <c r="G64" s="29"/>
      <c r="H64" s="29" t="s">
        <v>177</v>
      </c>
    </row>
    <row r="65" spans="1:18" x14ac:dyDescent="0.3">
      <c r="B65" s="7" t="s">
        <v>5</v>
      </c>
      <c r="C65" s="7">
        <v>0</v>
      </c>
      <c r="D65" s="7">
        <v>0</v>
      </c>
      <c r="E65" s="7">
        <v>0</v>
      </c>
    </row>
    <row r="66" spans="1:18" x14ac:dyDescent="0.3">
      <c r="B66" s="7" t="s">
        <v>6</v>
      </c>
      <c r="C66" s="7">
        <v>0</v>
      </c>
      <c r="D66" s="7">
        <v>0</v>
      </c>
      <c r="E66" s="7">
        <v>0</v>
      </c>
    </row>
    <row r="67" spans="1:18" x14ac:dyDescent="0.3">
      <c r="B67" s="7" t="s">
        <v>7</v>
      </c>
      <c r="C67" s="7">
        <v>0</v>
      </c>
      <c r="D67" s="7">
        <v>0</v>
      </c>
      <c r="E67" s="7">
        <v>0</v>
      </c>
    </row>
    <row r="68" spans="1:18" x14ac:dyDescent="0.3">
      <c r="B68" s="7" t="s">
        <v>8</v>
      </c>
      <c r="C68" s="7">
        <v>0</v>
      </c>
      <c r="D68" s="7">
        <v>0</v>
      </c>
      <c r="E68" s="7">
        <v>0</v>
      </c>
    </row>
    <row r="69" spans="1:18" x14ac:dyDescent="0.3">
      <c r="B69" s="7" t="s">
        <v>9</v>
      </c>
      <c r="C69" s="7">
        <v>0</v>
      </c>
      <c r="D69" s="7">
        <v>0</v>
      </c>
      <c r="E69" s="7">
        <v>0</v>
      </c>
    </row>
    <row r="70" spans="1:18" x14ac:dyDescent="0.3">
      <c r="B70" s="7" t="s">
        <v>10</v>
      </c>
      <c r="C70" s="7">
        <v>0</v>
      </c>
      <c r="D70" s="7">
        <v>0</v>
      </c>
      <c r="E70" s="7">
        <v>0</v>
      </c>
    </row>
    <row r="71" spans="1:18" x14ac:dyDescent="0.3">
      <c r="B71" s="7" t="s">
        <v>11</v>
      </c>
      <c r="C71" s="7">
        <v>0</v>
      </c>
      <c r="D71" s="7">
        <v>0</v>
      </c>
      <c r="E71" s="7">
        <v>0</v>
      </c>
    </row>
    <row r="72" spans="1:18" x14ac:dyDescent="0.3">
      <c r="B72" s="7" t="s">
        <v>12</v>
      </c>
      <c r="C72" s="7">
        <v>0</v>
      </c>
      <c r="D72" s="7">
        <v>0</v>
      </c>
      <c r="E72" s="7">
        <v>0</v>
      </c>
    </row>
    <row r="73" spans="1:18" x14ac:dyDescent="0.3">
      <c r="B73" s="7" t="s">
        <v>13</v>
      </c>
      <c r="C73" s="7">
        <v>0</v>
      </c>
      <c r="D73" s="7">
        <v>0</v>
      </c>
      <c r="E73" s="7">
        <v>0</v>
      </c>
    </row>
    <row r="74" spans="1:18" x14ac:dyDescent="0.3">
      <c r="B74" s="19"/>
      <c r="C74" s="19"/>
      <c r="D74" s="19"/>
      <c r="E74" s="19"/>
    </row>
    <row r="75" spans="1:18" x14ac:dyDescent="0.3">
      <c r="B75" s="19"/>
      <c r="C75" s="19"/>
      <c r="D75" s="19"/>
      <c r="E75" s="19"/>
    </row>
    <row r="76" spans="1:18" x14ac:dyDescent="0.3">
      <c r="B76" s="19"/>
      <c r="C76" s="19"/>
      <c r="D76" s="19"/>
      <c r="E76" s="19"/>
    </row>
    <row r="77" spans="1:18" ht="18" x14ac:dyDescent="0.35">
      <c r="A77" s="39">
        <v>1.5</v>
      </c>
      <c r="B77" s="40" t="s">
        <v>125</v>
      </c>
    </row>
    <row r="79" spans="1:18" x14ac:dyDescent="0.3">
      <c r="B79" s="3" t="s">
        <v>55</v>
      </c>
      <c r="F79" s="3" t="s">
        <v>56</v>
      </c>
      <c r="K79" s="3" t="s">
        <v>57</v>
      </c>
      <c r="P79" s="3" t="s">
        <v>58</v>
      </c>
    </row>
    <row r="80" spans="1:18" ht="28.8" x14ac:dyDescent="0.3">
      <c r="B80" s="4" t="s">
        <v>38</v>
      </c>
      <c r="C80" s="4" t="s">
        <v>51</v>
      </c>
      <c r="D80" s="4" t="s">
        <v>52</v>
      </c>
      <c r="F80" s="4" t="s">
        <v>38</v>
      </c>
      <c r="G80" s="4" t="s">
        <v>53</v>
      </c>
      <c r="H80" s="4" t="s">
        <v>54</v>
      </c>
      <c r="K80" s="4" t="s">
        <v>38</v>
      </c>
      <c r="L80" s="4" t="s">
        <v>53</v>
      </c>
      <c r="M80" s="4" t="s">
        <v>54</v>
      </c>
      <c r="P80" s="4" t="s">
        <v>38</v>
      </c>
      <c r="Q80" s="4" t="s">
        <v>51</v>
      </c>
      <c r="R80" s="4" t="s">
        <v>52</v>
      </c>
    </row>
    <row r="81" spans="1:18" x14ac:dyDescent="0.3">
      <c r="B81" s="7" t="s">
        <v>2</v>
      </c>
      <c r="C81" s="7">
        <v>100</v>
      </c>
      <c r="D81" s="7">
        <v>400</v>
      </c>
      <c r="F81" s="7" t="s">
        <v>2</v>
      </c>
      <c r="G81" s="7">
        <v>400</v>
      </c>
      <c r="H81" s="7">
        <v>100</v>
      </c>
      <c r="K81" s="7" t="s">
        <v>2</v>
      </c>
      <c r="L81" s="7">
        <v>800</v>
      </c>
      <c r="M81" s="7">
        <v>200</v>
      </c>
      <c r="P81" s="7" t="s">
        <v>2</v>
      </c>
      <c r="Q81" s="7">
        <v>100</v>
      </c>
      <c r="R81" s="7">
        <v>400</v>
      </c>
    </row>
    <row r="82" spans="1:18" x14ac:dyDescent="0.3">
      <c r="B82" s="7" t="s">
        <v>3</v>
      </c>
      <c r="C82" s="7">
        <v>140</v>
      </c>
      <c r="D82" s="7">
        <v>400</v>
      </c>
      <c r="F82" s="7" t="s">
        <v>3</v>
      </c>
      <c r="G82" s="7">
        <v>400</v>
      </c>
      <c r="H82" s="7">
        <v>140</v>
      </c>
      <c r="K82" s="7" t="s">
        <v>3</v>
      </c>
      <c r="L82" s="7">
        <v>800</v>
      </c>
      <c r="M82" s="7">
        <v>280</v>
      </c>
      <c r="P82" s="7" t="s">
        <v>3</v>
      </c>
      <c r="Q82" s="7">
        <v>140</v>
      </c>
      <c r="R82" s="7">
        <v>400</v>
      </c>
    </row>
    <row r="83" spans="1:18" x14ac:dyDescent="0.3">
      <c r="B83" s="7" t="s">
        <v>4</v>
      </c>
      <c r="C83" s="7">
        <v>150</v>
      </c>
      <c r="D83" s="7">
        <v>400</v>
      </c>
      <c r="F83" s="7" t="s">
        <v>4</v>
      </c>
      <c r="G83" s="7">
        <v>400</v>
      </c>
      <c r="H83" s="7">
        <v>150</v>
      </c>
      <c r="K83" s="7" t="s">
        <v>4</v>
      </c>
      <c r="L83" s="7">
        <v>800</v>
      </c>
      <c r="M83" s="7">
        <v>300</v>
      </c>
      <c r="P83" s="7" t="s">
        <v>4</v>
      </c>
      <c r="Q83" s="7">
        <v>150</v>
      </c>
      <c r="R83" s="7">
        <v>400</v>
      </c>
    </row>
    <row r="84" spans="1:18" x14ac:dyDescent="0.3">
      <c r="B84" s="7" t="s">
        <v>5</v>
      </c>
      <c r="C84" s="7">
        <v>160</v>
      </c>
      <c r="D84" s="7">
        <v>400</v>
      </c>
      <c r="F84" s="7" t="s">
        <v>5</v>
      </c>
      <c r="G84" s="7">
        <v>400</v>
      </c>
      <c r="H84" s="7">
        <v>160</v>
      </c>
      <c r="K84" s="7" t="s">
        <v>5</v>
      </c>
      <c r="L84" s="7">
        <v>800</v>
      </c>
      <c r="M84" s="7">
        <v>320</v>
      </c>
      <c r="P84" s="7" t="s">
        <v>5</v>
      </c>
      <c r="Q84" s="7">
        <v>160</v>
      </c>
      <c r="R84" s="7">
        <v>400</v>
      </c>
    </row>
    <row r="85" spans="1:18" x14ac:dyDescent="0.3">
      <c r="B85" s="7" t="s">
        <v>6</v>
      </c>
      <c r="C85" s="7">
        <v>190</v>
      </c>
      <c r="D85" s="7">
        <v>400</v>
      </c>
      <c r="F85" s="7" t="s">
        <v>6</v>
      </c>
      <c r="G85" s="7">
        <v>400</v>
      </c>
      <c r="H85" s="7">
        <v>190</v>
      </c>
      <c r="K85" s="7" t="s">
        <v>6</v>
      </c>
      <c r="L85" s="7">
        <v>800</v>
      </c>
      <c r="M85" s="7">
        <v>380</v>
      </c>
      <c r="P85" s="7" t="s">
        <v>6</v>
      </c>
      <c r="Q85" s="7">
        <v>190</v>
      </c>
      <c r="R85" s="7">
        <v>400</v>
      </c>
    </row>
    <row r="86" spans="1:18" x14ac:dyDescent="0.3">
      <c r="B86" s="7" t="s">
        <v>7</v>
      </c>
      <c r="C86" s="7">
        <v>220</v>
      </c>
      <c r="D86" s="7">
        <v>400</v>
      </c>
      <c r="F86" s="7" t="s">
        <v>7</v>
      </c>
      <c r="G86" s="7">
        <v>400</v>
      </c>
      <c r="H86" s="7">
        <v>220</v>
      </c>
      <c r="K86" s="7" t="s">
        <v>7</v>
      </c>
      <c r="L86" s="7">
        <v>800</v>
      </c>
      <c r="M86" s="7">
        <v>440</v>
      </c>
      <c r="P86" s="7" t="s">
        <v>7</v>
      </c>
      <c r="Q86" s="7">
        <v>220</v>
      </c>
      <c r="R86" s="7">
        <v>400</v>
      </c>
    </row>
    <row r="87" spans="1:18" x14ac:dyDescent="0.3">
      <c r="B87" s="7" t="s">
        <v>8</v>
      </c>
      <c r="C87" s="7">
        <v>220</v>
      </c>
      <c r="D87" s="7">
        <v>400</v>
      </c>
      <c r="F87" s="7" t="s">
        <v>8</v>
      </c>
      <c r="G87" s="7">
        <v>400</v>
      </c>
      <c r="H87" s="7">
        <v>220</v>
      </c>
      <c r="K87" s="7" t="s">
        <v>8</v>
      </c>
      <c r="L87" s="7">
        <v>800</v>
      </c>
      <c r="M87" s="7">
        <v>440</v>
      </c>
      <c r="P87" s="7" t="s">
        <v>8</v>
      </c>
      <c r="Q87" s="7">
        <v>220</v>
      </c>
      <c r="R87" s="7">
        <v>400</v>
      </c>
    </row>
    <row r="88" spans="1:18" x14ac:dyDescent="0.3">
      <c r="B88" s="7" t="s">
        <v>9</v>
      </c>
      <c r="C88" s="7">
        <v>250</v>
      </c>
      <c r="D88" s="7">
        <v>400</v>
      </c>
      <c r="F88" s="7" t="s">
        <v>9</v>
      </c>
      <c r="G88" s="7">
        <v>400</v>
      </c>
      <c r="H88" s="7">
        <v>250</v>
      </c>
      <c r="K88" s="7" t="s">
        <v>9</v>
      </c>
      <c r="L88" s="7">
        <v>800</v>
      </c>
      <c r="M88" s="7">
        <v>500</v>
      </c>
      <c r="P88" s="7" t="s">
        <v>9</v>
      </c>
      <c r="Q88" s="7">
        <v>250</v>
      </c>
      <c r="R88" s="7">
        <v>400</v>
      </c>
    </row>
    <row r="89" spans="1:18" x14ac:dyDescent="0.3">
      <c r="B89" s="7" t="s">
        <v>10</v>
      </c>
      <c r="C89" s="7">
        <v>230</v>
      </c>
      <c r="D89" s="7">
        <v>400</v>
      </c>
      <c r="F89" s="7" t="s">
        <v>10</v>
      </c>
      <c r="G89" s="7">
        <v>400</v>
      </c>
      <c r="H89" s="7">
        <v>230</v>
      </c>
      <c r="K89" s="7" t="s">
        <v>10</v>
      </c>
      <c r="L89" s="7">
        <v>800</v>
      </c>
      <c r="M89" s="7">
        <v>460</v>
      </c>
      <c r="P89" s="7" t="s">
        <v>10</v>
      </c>
      <c r="Q89" s="7">
        <v>230</v>
      </c>
      <c r="R89" s="7">
        <v>400</v>
      </c>
    </row>
    <row r="90" spans="1:18" x14ac:dyDescent="0.3">
      <c r="B90" s="7" t="s">
        <v>11</v>
      </c>
      <c r="C90" s="7">
        <v>200</v>
      </c>
      <c r="D90" s="7">
        <v>400</v>
      </c>
      <c r="F90" s="7" t="s">
        <v>11</v>
      </c>
      <c r="G90" s="7">
        <v>400</v>
      </c>
      <c r="H90" s="7">
        <v>200</v>
      </c>
      <c r="K90" s="7" t="s">
        <v>11</v>
      </c>
      <c r="L90" s="7">
        <v>800</v>
      </c>
      <c r="M90" s="7">
        <v>400</v>
      </c>
      <c r="P90" s="7" t="s">
        <v>11</v>
      </c>
      <c r="Q90" s="7">
        <v>200</v>
      </c>
      <c r="R90" s="7">
        <v>400</v>
      </c>
    </row>
    <row r="91" spans="1:18" x14ac:dyDescent="0.3">
      <c r="B91" s="7" t="s">
        <v>12</v>
      </c>
      <c r="C91" s="7">
        <v>170</v>
      </c>
      <c r="D91" s="7">
        <v>400</v>
      </c>
      <c r="F91" s="7" t="s">
        <v>12</v>
      </c>
      <c r="G91" s="7">
        <v>400</v>
      </c>
      <c r="H91" s="7">
        <v>170</v>
      </c>
      <c r="K91" s="7" t="s">
        <v>12</v>
      </c>
      <c r="L91" s="7">
        <v>800</v>
      </c>
      <c r="M91" s="7">
        <v>340</v>
      </c>
      <c r="P91" s="7" t="s">
        <v>12</v>
      </c>
      <c r="Q91" s="7">
        <v>170</v>
      </c>
      <c r="R91" s="7">
        <v>400</v>
      </c>
    </row>
    <row r="92" spans="1:18" x14ac:dyDescent="0.3">
      <c r="B92" s="7" t="s">
        <v>13</v>
      </c>
      <c r="C92" s="7">
        <v>150</v>
      </c>
      <c r="D92" s="7">
        <v>400</v>
      </c>
      <c r="F92" s="7" t="s">
        <v>13</v>
      </c>
      <c r="G92" s="7">
        <v>400</v>
      </c>
      <c r="H92" s="7">
        <v>150</v>
      </c>
      <c r="K92" s="7" t="s">
        <v>13</v>
      </c>
      <c r="L92" s="7">
        <v>800</v>
      </c>
      <c r="M92" s="7">
        <v>300</v>
      </c>
      <c r="P92" s="7" t="s">
        <v>13</v>
      </c>
      <c r="Q92" s="7">
        <v>150</v>
      </c>
      <c r="R92" s="7">
        <v>400</v>
      </c>
    </row>
    <row r="94" spans="1:18" x14ac:dyDescent="0.3">
      <c r="A94" s="43" t="s">
        <v>182</v>
      </c>
      <c r="B94" t="s">
        <v>178</v>
      </c>
      <c r="E94" s="43" t="s">
        <v>182</v>
      </c>
      <c r="F94" t="s">
        <v>187</v>
      </c>
      <c r="J94" s="43" t="s">
        <v>182</v>
      </c>
      <c r="K94" t="s">
        <v>190</v>
      </c>
      <c r="O94" s="43" t="s">
        <v>182</v>
      </c>
      <c r="P94" t="s">
        <v>194</v>
      </c>
    </row>
    <row r="95" spans="1:18" x14ac:dyDescent="0.3">
      <c r="A95" s="43" t="s">
        <v>183</v>
      </c>
      <c r="B95" t="s">
        <v>179</v>
      </c>
      <c r="E95" s="43" t="s">
        <v>183</v>
      </c>
      <c r="F95" t="s">
        <v>186</v>
      </c>
      <c r="J95" s="43" t="s">
        <v>183</v>
      </c>
      <c r="K95" t="s">
        <v>191</v>
      </c>
      <c r="O95" s="43" t="s">
        <v>183</v>
      </c>
      <c r="P95" t="s">
        <v>195</v>
      </c>
    </row>
    <row r="96" spans="1:18" x14ac:dyDescent="0.3">
      <c r="A96" s="43" t="s">
        <v>184</v>
      </c>
      <c r="B96" t="s">
        <v>180</v>
      </c>
      <c r="E96" s="43" t="s">
        <v>184</v>
      </c>
      <c r="F96" t="s">
        <v>188</v>
      </c>
      <c r="J96" s="43" t="s">
        <v>184</v>
      </c>
      <c r="K96" t="s">
        <v>192</v>
      </c>
      <c r="O96" s="43"/>
    </row>
    <row r="97" spans="1:15" x14ac:dyDescent="0.3">
      <c r="A97" s="43" t="s">
        <v>185</v>
      </c>
      <c r="B97" t="s">
        <v>181</v>
      </c>
      <c r="F97" s="43" t="s">
        <v>189</v>
      </c>
      <c r="J97" s="43"/>
      <c r="K97" t="s">
        <v>193</v>
      </c>
      <c r="O97" s="43"/>
    </row>
  </sheetData>
  <mergeCells count="18">
    <mergeCell ref="B13:C13"/>
    <mergeCell ref="B14:C14"/>
    <mergeCell ref="B15:C15"/>
    <mergeCell ref="B7:C7"/>
    <mergeCell ref="B12:C12"/>
    <mergeCell ref="B8:C8"/>
    <mergeCell ref="B9:C9"/>
    <mergeCell ref="B10:C10"/>
    <mergeCell ref="B11:C11"/>
    <mergeCell ref="E13:F13"/>
    <mergeCell ref="E14:F14"/>
    <mergeCell ref="E15:F15"/>
    <mergeCell ref="E7:F7"/>
    <mergeCell ref="E8:F8"/>
    <mergeCell ref="E9:F9"/>
    <mergeCell ref="E10:F10"/>
    <mergeCell ref="E11:F11"/>
    <mergeCell ref="E12:F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5A3C-4FBE-4A76-B8A3-A694BB661D4F}">
  <dimension ref="A2:R164"/>
  <sheetViews>
    <sheetView workbookViewId="0">
      <selection activeCell="B10" sqref="B10:C10"/>
    </sheetView>
  </sheetViews>
  <sheetFormatPr defaultRowHeight="14.4" x14ac:dyDescent="0.3"/>
  <cols>
    <col min="2" max="2" width="11.88671875" customWidth="1"/>
    <col min="3" max="3" width="13.6640625" customWidth="1"/>
    <col min="4" max="4" width="12.44140625" customWidth="1"/>
    <col min="6" max="6" width="12.109375" customWidth="1"/>
    <col min="7" max="8" width="10.88671875" customWidth="1"/>
    <col min="11" max="11" width="10.44140625" customWidth="1"/>
    <col min="12" max="12" width="10.88671875" customWidth="1"/>
    <col min="15" max="16" width="12" customWidth="1"/>
    <col min="17" max="17" width="26.33203125" style="31" customWidth="1"/>
    <col min="18" max="18" width="19.33203125" customWidth="1"/>
  </cols>
  <sheetData>
    <row r="2" spans="1:18" s="1" customFormat="1" ht="25.8" x14ac:dyDescent="0.5">
      <c r="A2" s="26" t="s">
        <v>196</v>
      </c>
      <c r="B2" s="2"/>
    </row>
    <row r="4" spans="1:18" x14ac:dyDescent="0.3">
      <c r="A4">
        <v>1.1000000000000001</v>
      </c>
      <c r="B4" s="3" t="s">
        <v>115</v>
      </c>
      <c r="C4" s="31"/>
      <c r="Q4"/>
    </row>
    <row r="5" spans="1:18" x14ac:dyDescent="0.3">
      <c r="C5" s="31"/>
      <c r="Q5"/>
    </row>
    <row r="6" spans="1:18" x14ac:dyDescent="0.3">
      <c r="B6" s="52" t="s">
        <v>14</v>
      </c>
      <c r="C6" s="53"/>
      <c r="D6" s="56" t="s">
        <v>15</v>
      </c>
      <c r="E6" s="56"/>
      <c r="Q6"/>
    </row>
    <row r="7" spans="1:18" x14ac:dyDescent="0.3">
      <c r="B7" s="59" t="s">
        <v>80</v>
      </c>
      <c r="C7" s="60"/>
      <c r="D7" s="57">
        <v>15740870</v>
      </c>
      <c r="E7" s="57"/>
      <c r="Q7"/>
    </row>
    <row r="8" spans="1:18" x14ac:dyDescent="0.3">
      <c r="B8" s="59" t="s">
        <v>81</v>
      </c>
      <c r="C8" s="60"/>
      <c r="D8" s="51" t="s">
        <v>82</v>
      </c>
      <c r="E8" s="51"/>
      <c r="Q8"/>
    </row>
    <row r="9" spans="1:18" ht="43.2" customHeight="1" x14ac:dyDescent="0.3">
      <c r="B9" s="59" t="s">
        <v>83</v>
      </c>
      <c r="C9" s="60"/>
      <c r="D9" s="51" t="s">
        <v>84</v>
      </c>
      <c r="E9" s="51"/>
      <c r="Q9"/>
    </row>
    <row r="10" spans="1:18" ht="57.6" customHeight="1" x14ac:dyDescent="0.3">
      <c r="B10" s="59" t="s">
        <v>85</v>
      </c>
      <c r="C10" s="60"/>
      <c r="D10" s="51" t="s">
        <v>86</v>
      </c>
      <c r="E10" s="51"/>
      <c r="Q10"/>
    </row>
    <row r="11" spans="1:18" x14ac:dyDescent="0.3">
      <c r="B11" s="59" t="s">
        <v>87</v>
      </c>
      <c r="C11" s="60"/>
      <c r="D11" s="51">
        <v>0</v>
      </c>
      <c r="E11" s="51"/>
      <c r="Q11"/>
    </row>
    <row r="12" spans="1:18" ht="100.8" customHeight="1" x14ac:dyDescent="0.3">
      <c r="B12" s="59" t="s">
        <v>88</v>
      </c>
      <c r="C12" s="60"/>
      <c r="D12" s="51" t="s">
        <v>89</v>
      </c>
      <c r="E12" s="51"/>
      <c r="Q12"/>
    </row>
    <row r="13" spans="1:18" x14ac:dyDescent="0.3">
      <c r="C13" s="31"/>
      <c r="Q13"/>
    </row>
    <row r="14" spans="1:18" x14ac:dyDescent="0.3">
      <c r="A14">
        <v>1.2</v>
      </c>
      <c r="B14" s="3" t="s">
        <v>91</v>
      </c>
      <c r="C14" s="31"/>
      <c r="Q14"/>
    </row>
    <row r="15" spans="1:18" x14ac:dyDescent="0.3">
      <c r="C15" s="31"/>
      <c r="Q15"/>
    </row>
    <row r="16" spans="1:18" ht="43.2" x14ac:dyDescent="0.3">
      <c r="B16" s="4" t="s">
        <v>38</v>
      </c>
      <c r="C16" s="4" t="s">
        <v>90</v>
      </c>
      <c r="D16" s="4" t="s">
        <v>39</v>
      </c>
      <c r="Q16">
        <v>330</v>
      </c>
      <c r="R16">
        <v>320</v>
      </c>
    </row>
    <row r="17" spans="1:18" x14ac:dyDescent="0.3">
      <c r="B17" s="7" t="s">
        <v>2</v>
      </c>
      <c r="C17" s="7">
        <v>400</v>
      </c>
      <c r="D17" s="7">
        <v>400</v>
      </c>
      <c r="Q17">
        <v>70</v>
      </c>
      <c r="R17">
        <v>80</v>
      </c>
    </row>
    <row r="18" spans="1:18" x14ac:dyDescent="0.3">
      <c r="B18" s="7" t="s">
        <v>3</v>
      </c>
      <c r="C18" s="7">
        <v>400</v>
      </c>
      <c r="D18" s="7">
        <v>400</v>
      </c>
      <c r="Q18"/>
    </row>
    <row r="19" spans="1:18" x14ac:dyDescent="0.3">
      <c r="B19" s="7" t="s">
        <v>4</v>
      </c>
      <c r="C19" s="7">
        <v>400</v>
      </c>
      <c r="D19" s="7">
        <v>400</v>
      </c>
      <c r="Q19"/>
    </row>
    <row r="20" spans="1:18" x14ac:dyDescent="0.3">
      <c r="B20" s="7" t="s">
        <v>5</v>
      </c>
      <c r="C20" s="7">
        <v>400</v>
      </c>
      <c r="D20" s="7">
        <v>400</v>
      </c>
      <c r="Q20"/>
    </row>
    <row r="21" spans="1:18" x14ac:dyDescent="0.3">
      <c r="B21" s="7" t="s">
        <v>6</v>
      </c>
      <c r="C21" s="7">
        <v>400</v>
      </c>
      <c r="D21" s="7">
        <v>400</v>
      </c>
      <c r="Q21"/>
    </row>
    <row r="22" spans="1:18" x14ac:dyDescent="0.3">
      <c r="B22" s="7" t="s">
        <v>7</v>
      </c>
      <c r="C22" s="7">
        <v>400</v>
      </c>
      <c r="D22" s="7">
        <v>400</v>
      </c>
      <c r="Q22"/>
    </row>
    <row r="23" spans="1:18" x14ac:dyDescent="0.3">
      <c r="B23" s="7" t="s">
        <v>8</v>
      </c>
      <c r="C23" s="7">
        <v>400</v>
      </c>
      <c r="D23" s="7">
        <v>400</v>
      </c>
      <c r="Q23"/>
    </row>
    <row r="24" spans="1:18" x14ac:dyDescent="0.3">
      <c r="B24" s="7" t="s">
        <v>9</v>
      </c>
      <c r="C24" s="7">
        <v>400</v>
      </c>
      <c r="D24" s="7">
        <v>400</v>
      </c>
      <c r="Q24"/>
    </row>
    <row r="25" spans="1:18" x14ac:dyDescent="0.3">
      <c r="B25" s="7" t="s">
        <v>10</v>
      </c>
      <c r="C25" s="7">
        <v>400</v>
      </c>
      <c r="D25" s="7">
        <v>400</v>
      </c>
      <c r="Q25"/>
    </row>
    <row r="26" spans="1:18" x14ac:dyDescent="0.3">
      <c r="B26" s="7" t="s">
        <v>11</v>
      </c>
      <c r="C26" s="7">
        <v>400</v>
      </c>
      <c r="D26" s="7">
        <v>400</v>
      </c>
      <c r="Q26"/>
    </row>
    <row r="27" spans="1:18" x14ac:dyDescent="0.3">
      <c r="B27" s="7" t="s">
        <v>12</v>
      </c>
      <c r="C27" s="7">
        <v>400</v>
      </c>
      <c r="D27" s="7">
        <v>400</v>
      </c>
      <c r="Q27"/>
    </row>
    <row r="28" spans="1:18" x14ac:dyDescent="0.3">
      <c r="B28" s="7" t="s">
        <v>13</v>
      </c>
      <c r="C28" s="7">
        <v>400</v>
      </c>
      <c r="D28" s="7">
        <v>400</v>
      </c>
      <c r="Q28"/>
    </row>
    <row r="29" spans="1:18" x14ac:dyDescent="0.3">
      <c r="C29" s="31"/>
      <c r="Q29"/>
    </row>
    <row r="30" spans="1:18" ht="15.6" x14ac:dyDescent="0.3">
      <c r="A30">
        <v>1.3</v>
      </c>
      <c r="B30" s="34" t="s">
        <v>94</v>
      </c>
      <c r="C30" s="31"/>
      <c r="Q30"/>
    </row>
    <row r="31" spans="1:18" x14ac:dyDescent="0.3">
      <c r="C31" s="31"/>
      <c r="Q31"/>
    </row>
    <row r="32" spans="1:18" x14ac:dyDescent="0.3">
      <c r="B32" t="s">
        <v>95</v>
      </c>
      <c r="C32" s="31"/>
      <c r="Q32"/>
    </row>
    <row r="33" spans="1:17" ht="28.8" x14ac:dyDescent="0.3">
      <c r="B33" s="4" t="s">
        <v>38</v>
      </c>
      <c r="C33" s="4" t="s">
        <v>92</v>
      </c>
      <c r="D33" s="4" t="s">
        <v>93</v>
      </c>
      <c r="Q33"/>
    </row>
    <row r="34" spans="1:17" x14ac:dyDescent="0.3">
      <c r="B34" s="7" t="s">
        <v>2</v>
      </c>
      <c r="C34" s="7">
        <v>300</v>
      </c>
      <c r="D34" s="7">
        <v>100</v>
      </c>
      <c r="Q34"/>
    </row>
    <row r="35" spans="1:17" x14ac:dyDescent="0.3">
      <c r="B35" s="7" t="s">
        <v>3</v>
      </c>
      <c r="C35" s="7">
        <v>320</v>
      </c>
      <c r="D35" s="7">
        <v>80</v>
      </c>
      <c r="Q35"/>
    </row>
    <row r="36" spans="1:17" x14ac:dyDescent="0.3">
      <c r="B36" s="7" t="s">
        <v>4</v>
      </c>
      <c r="C36" s="7">
        <v>310</v>
      </c>
      <c r="D36" s="7">
        <v>90</v>
      </c>
      <c r="Q36"/>
    </row>
    <row r="37" spans="1:17" x14ac:dyDescent="0.3">
      <c r="B37" s="7" t="s">
        <v>5</v>
      </c>
      <c r="C37" s="7">
        <v>330</v>
      </c>
      <c r="D37" s="7">
        <v>70</v>
      </c>
      <c r="Q37"/>
    </row>
    <row r="38" spans="1:17" x14ac:dyDescent="0.3">
      <c r="B38" s="7" t="s">
        <v>6</v>
      </c>
      <c r="C38" s="7">
        <v>340</v>
      </c>
      <c r="D38" s="7">
        <v>60</v>
      </c>
      <c r="Q38"/>
    </row>
    <row r="39" spans="1:17" x14ac:dyDescent="0.3">
      <c r="B39" s="7" t="s">
        <v>7</v>
      </c>
      <c r="C39" s="7">
        <v>350</v>
      </c>
      <c r="D39" s="7">
        <v>50</v>
      </c>
      <c r="Q39"/>
    </row>
    <row r="40" spans="1:17" x14ac:dyDescent="0.3">
      <c r="B40" s="7" t="s">
        <v>8</v>
      </c>
      <c r="C40" s="7">
        <v>360</v>
      </c>
      <c r="D40" s="7">
        <v>40</v>
      </c>
      <c r="Q40"/>
    </row>
    <row r="41" spans="1:17" x14ac:dyDescent="0.3">
      <c r="B41" s="7" t="s">
        <v>9</v>
      </c>
      <c r="C41" s="7">
        <v>370</v>
      </c>
      <c r="D41" s="7">
        <v>30</v>
      </c>
      <c r="Q41"/>
    </row>
    <row r="42" spans="1:17" x14ac:dyDescent="0.3">
      <c r="B42" s="7" t="s">
        <v>10</v>
      </c>
      <c r="C42" s="7">
        <v>355</v>
      </c>
      <c r="D42" s="7">
        <v>45</v>
      </c>
      <c r="Q42"/>
    </row>
    <row r="43" spans="1:17" x14ac:dyDescent="0.3">
      <c r="B43" s="7" t="s">
        <v>11</v>
      </c>
      <c r="C43" s="7">
        <v>340</v>
      </c>
      <c r="D43" s="7">
        <v>60</v>
      </c>
      <c r="Q43"/>
    </row>
    <row r="44" spans="1:17" x14ac:dyDescent="0.3">
      <c r="B44" s="7" t="s">
        <v>12</v>
      </c>
      <c r="C44" s="7">
        <v>330</v>
      </c>
      <c r="D44" s="7">
        <v>70</v>
      </c>
      <c r="Q44"/>
    </row>
    <row r="45" spans="1:17" x14ac:dyDescent="0.3">
      <c r="B45" s="7" t="s">
        <v>13</v>
      </c>
      <c r="C45" s="7">
        <v>320</v>
      </c>
      <c r="D45" s="7">
        <v>80</v>
      </c>
      <c r="Q45"/>
    </row>
    <row r="46" spans="1:17" x14ac:dyDescent="0.3">
      <c r="C46" s="31"/>
      <c r="Q46"/>
    </row>
    <row r="47" spans="1:17" ht="15.6" x14ac:dyDescent="0.3">
      <c r="A47">
        <v>1.4</v>
      </c>
      <c r="B47" s="34" t="s">
        <v>96</v>
      </c>
      <c r="C47" s="31"/>
      <c r="Q47"/>
    </row>
    <row r="48" spans="1:17" x14ac:dyDescent="0.3">
      <c r="C48" s="31"/>
      <c r="Q48"/>
    </row>
    <row r="49" spans="1:17" ht="28.8" x14ac:dyDescent="0.3">
      <c r="B49" s="4" t="s">
        <v>38</v>
      </c>
      <c r="C49" s="4" t="s">
        <v>97</v>
      </c>
      <c r="Q49"/>
    </row>
    <row r="50" spans="1:17" x14ac:dyDescent="0.3">
      <c r="B50" s="7" t="s">
        <v>2</v>
      </c>
      <c r="C50" s="7">
        <v>100</v>
      </c>
      <c r="Q50"/>
    </row>
    <row r="51" spans="1:17" x14ac:dyDescent="0.3">
      <c r="B51" s="7" t="s">
        <v>3</v>
      </c>
      <c r="C51" s="7">
        <v>140</v>
      </c>
      <c r="Q51"/>
    </row>
    <row r="52" spans="1:17" x14ac:dyDescent="0.3">
      <c r="B52" s="7" t="s">
        <v>4</v>
      </c>
      <c r="C52" s="7">
        <v>150</v>
      </c>
      <c r="Q52"/>
    </row>
    <row r="53" spans="1:17" x14ac:dyDescent="0.3">
      <c r="B53" s="7" t="s">
        <v>5</v>
      </c>
      <c r="C53" s="7">
        <v>160</v>
      </c>
      <c r="Q53"/>
    </row>
    <row r="54" spans="1:17" x14ac:dyDescent="0.3">
      <c r="B54" s="7" t="s">
        <v>6</v>
      </c>
      <c r="C54" s="7">
        <v>190</v>
      </c>
      <c r="Q54"/>
    </row>
    <row r="55" spans="1:17" x14ac:dyDescent="0.3">
      <c r="B55" s="7" t="s">
        <v>7</v>
      </c>
      <c r="C55" s="7">
        <v>220</v>
      </c>
      <c r="Q55"/>
    </row>
    <row r="56" spans="1:17" x14ac:dyDescent="0.3">
      <c r="B56" s="7" t="s">
        <v>8</v>
      </c>
      <c r="C56" s="7">
        <v>220</v>
      </c>
      <c r="Q56"/>
    </row>
    <row r="57" spans="1:17" x14ac:dyDescent="0.3">
      <c r="B57" s="7" t="s">
        <v>9</v>
      </c>
      <c r="C57" s="7">
        <v>250</v>
      </c>
      <c r="Q57"/>
    </row>
    <row r="58" spans="1:17" x14ac:dyDescent="0.3">
      <c r="B58" s="7" t="s">
        <v>10</v>
      </c>
      <c r="C58" s="7">
        <v>230</v>
      </c>
      <c r="Q58"/>
    </row>
    <row r="59" spans="1:17" x14ac:dyDescent="0.3">
      <c r="B59" s="7" t="s">
        <v>11</v>
      </c>
      <c r="C59" s="7">
        <v>200</v>
      </c>
      <c r="Q59"/>
    </row>
    <row r="60" spans="1:17" x14ac:dyDescent="0.3">
      <c r="B60" s="7" t="s">
        <v>12</v>
      </c>
      <c r="C60" s="7">
        <v>170</v>
      </c>
      <c r="Q60"/>
    </row>
    <row r="61" spans="1:17" x14ac:dyDescent="0.3">
      <c r="B61" s="7" t="s">
        <v>13</v>
      </c>
      <c r="C61" s="7">
        <v>150</v>
      </c>
      <c r="Q61"/>
    </row>
    <row r="62" spans="1:17" x14ac:dyDescent="0.3">
      <c r="C62" s="31"/>
      <c r="Q62"/>
    </row>
    <row r="63" spans="1:17" x14ac:dyDescent="0.3">
      <c r="C63" s="31"/>
      <c r="Q63"/>
    </row>
    <row r="64" spans="1:17" ht="15.6" x14ac:dyDescent="0.3">
      <c r="A64">
        <v>1.5</v>
      </c>
      <c r="B64" s="34" t="s">
        <v>98</v>
      </c>
      <c r="C64" s="31"/>
      <c r="Q64"/>
    </row>
    <row r="65" spans="2:17" x14ac:dyDescent="0.3">
      <c r="C65" s="31"/>
      <c r="Q65"/>
    </row>
    <row r="66" spans="2:17" x14ac:dyDescent="0.3">
      <c r="C66" s="31"/>
      <c r="Q66"/>
    </row>
    <row r="67" spans="2:17" x14ac:dyDescent="0.3">
      <c r="B67" s="3" t="s">
        <v>102</v>
      </c>
      <c r="C67" s="31"/>
      <c r="Q67"/>
    </row>
    <row r="68" spans="2:17" x14ac:dyDescent="0.3">
      <c r="B68" s="4" t="s">
        <v>38</v>
      </c>
      <c r="C68" s="4" t="s">
        <v>99</v>
      </c>
      <c r="Q68"/>
    </row>
    <row r="69" spans="2:17" ht="28.8" x14ac:dyDescent="0.3">
      <c r="B69" s="7" t="s">
        <v>100</v>
      </c>
      <c r="C69" s="7" t="s">
        <v>101</v>
      </c>
      <c r="Q69"/>
    </row>
    <row r="70" spans="2:17" x14ac:dyDescent="0.3">
      <c r="C70" s="31"/>
      <c r="Q70"/>
    </row>
    <row r="71" spans="2:17" x14ac:dyDescent="0.3">
      <c r="B71" s="3" t="s">
        <v>103</v>
      </c>
      <c r="C71" s="31"/>
      <c r="Q71"/>
    </row>
    <row r="72" spans="2:17" x14ac:dyDescent="0.3">
      <c r="B72" s="4" t="s">
        <v>38</v>
      </c>
      <c r="C72" s="4" t="s">
        <v>99</v>
      </c>
      <c r="Q72"/>
    </row>
    <row r="73" spans="2:17" ht="28.8" x14ac:dyDescent="0.3">
      <c r="B73" s="7" t="s">
        <v>100</v>
      </c>
      <c r="C73" s="7" t="s">
        <v>101</v>
      </c>
      <c r="Q73"/>
    </row>
    <row r="74" spans="2:17" x14ac:dyDescent="0.3">
      <c r="C74" s="31"/>
      <c r="Q74"/>
    </row>
    <row r="75" spans="2:17" x14ac:dyDescent="0.3">
      <c r="B75" s="3" t="s">
        <v>104</v>
      </c>
      <c r="C75" s="31"/>
      <c r="Q75"/>
    </row>
    <row r="76" spans="2:17" x14ac:dyDescent="0.3">
      <c r="B76" s="4" t="s">
        <v>38</v>
      </c>
      <c r="C76" s="4" t="s">
        <v>99</v>
      </c>
      <c r="Q76"/>
    </row>
    <row r="77" spans="2:17" ht="28.8" x14ac:dyDescent="0.3">
      <c r="B77" s="7" t="s">
        <v>100</v>
      </c>
      <c r="C77" s="7" t="s">
        <v>105</v>
      </c>
      <c r="Q77"/>
    </row>
    <row r="78" spans="2:17" x14ac:dyDescent="0.3">
      <c r="C78" s="31"/>
      <c r="Q78"/>
    </row>
    <row r="79" spans="2:17" x14ac:dyDescent="0.3">
      <c r="B79" s="3" t="s">
        <v>106</v>
      </c>
      <c r="C79" s="31"/>
      <c r="Q79"/>
    </row>
    <row r="80" spans="2:17" x14ac:dyDescent="0.3">
      <c r="B80" s="4" t="s">
        <v>38</v>
      </c>
      <c r="C80" s="4" t="s">
        <v>99</v>
      </c>
      <c r="Q80"/>
    </row>
    <row r="81" spans="1:18" ht="28.8" x14ac:dyDescent="0.3">
      <c r="B81" s="7" t="s">
        <v>100</v>
      </c>
      <c r="C81" s="7" t="s">
        <v>101</v>
      </c>
      <c r="Q81"/>
    </row>
    <row r="82" spans="1:18" x14ac:dyDescent="0.3">
      <c r="C82" s="31"/>
      <c r="Q82"/>
    </row>
    <row r="83" spans="1:18" x14ac:dyDescent="0.3">
      <c r="C83" s="31"/>
      <c r="Q83"/>
    </row>
    <row r="84" spans="1:18" x14ac:dyDescent="0.3">
      <c r="C84" s="31"/>
      <c r="Q84"/>
    </row>
    <row r="85" spans="1:18" x14ac:dyDescent="0.3">
      <c r="C85" s="31"/>
      <c r="Q85"/>
    </row>
    <row r="86" spans="1:18" x14ac:dyDescent="0.3">
      <c r="C86" s="31"/>
      <c r="Q86"/>
    </row>
    <row r="87" spans="1:18" s="1" customFormat="1" ht="25.8" x14ac:dyDescent="0.5">
      <c r="A87" s="26" t="s">
        <v>200</v>
      </c>
      <c r="B87" s="2"/>
    </row>
    <row r="89" spans="1:18" x14ac:dyDescent="0.3">
      <c r="A89" s="3">
        <v>2.1</v>
      </c>
      <c r="B89" s="3" t="s">
        <v>115</v>
      </c>
    </row>
    <row r="91" spans="1:18" x14ac:dyDescent="0.3">
      <c r="B91" s="52" t="s">
        <v>14</v>
      </c>
      <c r="C91" s="53"/>
      <c r="D91" s="56" t="s">
        <v>15</v>
      </c>
      <c r="E91" s="56"/>
      <c r="F91" s="56"/>
      <c r="Q91"/>
      <c r="R91" s="31"/>
    </row>
    <row r="92" spans="1:18" ht="14.4" customHeight="1" x14ac:dyDescent="0.3">
      <c r="B92" s="59" t="s">
        <v>80</v>
      </c>
      <c r="C92" s="60"/>
      <c r="D92" s="57">
        <v>7118307.5</v>
      </c>
      <c r="E92" s="57"/>
      <c r="F92" s="57"/>
      <c r="Q92"/>
      <c r="R92" s="31"/>
    </row>
    <row r="93" spans="1:18" ht="14.4" customHeight="1" x14ac:dyDescent="0.3">
      <c r="B93" s="59" t="s">
        <v>107</v>
      </c>
      <c r="C93" s="60"/>
      <c r="D93" s="51" t="s">
        <v>108</v>
      </c>
      <c r="E93" s="51"/>
      <c r="F93" s="51"/>
      <c r="Q93"/>
      <c r="R93" s="31"/>
    </row>
    <row r="94" spans="1:18" ht="28.8" customHeight="1" x14ac:dyDescent="0.3">
      <c r="B94" s="59" t="s">
        <v>109</v>
      </c>
      <c r="C94" s="60"/>
      <c r="D94" s="51" t="s">
        <v>110</v>
      </c>
      <c r="E94" s="51"/>
      <c r="F94" s="51"/>
      <c r="Q94"/>
      <c r="R94" s="31"/>
    </row>
    <row r="95" spans="1:18" ht="28.8" customHeight="1" x14ac:dyDescent="0.3">
      <c r="B95" s="59" t="s">
        <v>85</v>
      </c>
      <c r="C95" s="60"/>
      <c r="D95" s="58" t="s">
        <v>111</v>
      </c>
      <c r="E95" s="58"/>
      <c r="F95" s="58"/>
      <c r="Q95"/>
      <c r="R95" s="31"/>
    </row>
    <row r="96" spans="1:18" ht="43.2" customHeight="1" x14ac:dyDescent="0.3">
      <c r="B96" s="59" t="s">
        <v>87</v>
      </c>
      <c r="C96" s="60"/>
      <c r="D96" s="51" t="s">
        <v>112</v>
      </c>
      <c r="E96" s="51"/>
      <c r="F96" s="51"/>
      <c r="Q96"/>
      <c r="R96" s="31"/>
    </row>
    <row r="97" spans="1:18" ht="65.400000000000006" customHeight="1" x14ac:dyDescent="0.3">
      <c r="B97" s="59" t="s">
        <v>113</v>
      </c>
      <c r="C97" s="60"/>
      <c r="D97" s="51" t="s">
        <v>114</v>
      </c>
      <c r="E97" s="51"/>
      <c r="F97" s="51"/>
      <c r="Q97"/>
      <c r="R97" s="31"/>
    </row>
    <row r="99" spans="1:18" x14ac:dyDescent="0.3">
      <c r="A99">
        <v>2.2000000000000002</v>
      </c>
      <c r="B99" s="35" t="s">
        <v>116</v>
      </c>
    </row>
    <row r="101" spans="1:18" ht="28.8" x14ac:dyDescent="0.3">
      <c r="B101" s="4" t="s">
        <v>38</v>
      </c>
      <c r="C101" s="4" t="s">
        <v>117</v>
      </c>
    </row>
    <row r="102" spans="1:18" x14ac:dyDescent="0.3">
      <c r="B102" s="7" t="s">
        <v>2</v>
      </c>
      <c r="C102" s="7">
        <v>500</v>
      </c>
    </row>
    <row r="103" spans="1:18" x14ac:dyDescent="0.3">
      <c r="B103" s="7" t="s">
        <v>3</v>
      </c>
      <c r="C103" s="7">
        <v>560</v>
      </c>
    </row>
    <row r="104" spans="1:18" x14ac:dyDescent="0.3">
      <c r="B104" s="7" t="s">
        <v>4</v>
      </c>
      <c r="C104" s="7">
        <v>600</v>
      </c>
    </row>
    <row r="105" spans="1:18" x14ac:dyDescent="0.3">
      <c r="B105" s="7" t="s">
        <v>5</v>
      </c>
      <c r="C105" s="7">
        <v>600</v>
      </c>
    </row>
    <row r="106" spans="1:18" x14ac:dyDescent="0.3">
      <c r="B106" s="7" t="s">
        <v>6</v>
      </c>
      <c r="C106" s="7">
        <v>600</v>
      </c>
    </row>
    <row r="107" spans="1:18" x14ac:dyDescent="0.3">
      <c r="B107" s="7" t="s">
        <v>7</v>
      </c>
      <c r="C107" s="7">
        <v>600</v>
      </c>
    </row>
    <row r="108" spans="1:18" x14ac:dyDescent="0.3">
      <c r="B108" s="7" t="s">
        <v>8</v>
      </c>
      <c r="C108" s="7">
        <v>600</v>
      </c>
    </row>
    <row r="109" spans="1:18" x14ac:dyDescent="0.3">
      <c r="B109" s="7" t="s">
        <v>9</v>
      </c>
      <c r="C109" s="7">
        <v>600</v>
      </c>
    </row>
    <row r="110" spans="1:18" x14ac:dyDescent="0.3">
      <c r="B110" s="7" t="s">
        <v>10</v>
      </c>
      <c r="C110" s="7">
        <v>600</v>
      </c>
    </row>
    <row r="111" spans="1:18" x14ac:dyDescent="0.3">
      <c r="B111" s="7" t="s">
        <v>11</v>
      </c>
      <c r="C111" s="7">
        <v>600</v>
      </c>
    </row>
    <row r="112" spans="1:18" x14ac:dyDescent="0.3">
      <c r="B112" s="7" t="s">
        <v>12</v>
      </c>
      <c r="C112" s="7">
        <v>570</v>
      </c>
    </row>
    <row r="113" spans="1:4" x14ac:dyDescent="0.3">
      <c r="B113" s="7" t="s">
        <v>13</v>
      </c>
      <c r="C113" s="7">
        <v>550</v>
      </c>
    </row>
    <row r="115" spans="1:4" x14ac:dyDescent="0.3">
      <c r="A115" s="3">
        <v>2.2999999999999998</v>
      </c>
      <c r="B115" s="24" t="s">
        <v>118</v>
      </c>
    </row>
    <row r="117" spans="1:4" x14ac:dyDescent="0.3">
      <c r="B117" s="4" t="s">
        <v>38</v>
      </c>
      <c r="C117" s="4" t="s">
        <v>119</v>
      </c>
      <c r="D117" s="4" t="s">
        <v>120</v>
      </c>
    </row>
    <row r="118" spans="1:4" x14ac:dyDescent="0.3">
      <c r="B118" s="7" t="s">
        <v>2</v>
      </c>
      <c r="C118" s="7">
        <v>300</v>
      </c>
      <c r="D118" s="7">
        <v>200</v>
      </c>
    </row>
    <row r="119" spans="1:4" x14ac:dyDescent="0.3">
      <c r="B119" s="7" t="s">
        <v>3</v>
      </c>
      <c r="C119" s="7">
        <v>320</v>
      </c>
      <c r="D119" s="7">
        <v>220</v>
      </c>
    </row>
    <row r="120" spans="1:4" x14ac:dyDescent="0.3">
      <c r="B120" s="7" t="s">
        <v>4</v>
      </c>
      <c r="C120" s="7">
        <v>310</v>
      </c>
      <c r="D120" s="7">
        <v>240</v>
      </c>
    </row>
    <row r="121" spans="1:4" x14ac:dyDescent="0.3">
      <c r="B121" s="7" t="s">
        <v>5</v>
      </c>
      <c r="C121" s="7">
        <v>330</v>
      </c>
      <c r="D121" s="7">
        <v>230</v>
      </c>
    </row>
    <row r="122" spans="1:4" x14ac:dyDescent="0.3">
      <c r="B122" s="7" t="s">
        <v>6</v>
      </c>
      <c r="C122" s="7">
        <v>340</v>
      </c>
      <c r="D122" s="7">
        <v>250</v>
      </c>
    </row>
    <row r="123" spans="1:4" x14ac:dyDescent="0.3">
      <c r="B123" s="7" t="s">
        <v>7</v>
      </c>
      <c r="C123" s="7">
        <v>350</v>
      </c>
      <c r="D123" s="7">
        <v>270</v>
      </c>
    </row>
    <row r="124" spans="1:4" x14ac:dyDescent="0.3">
      <c r="B124" s="7" t="s">
        <v>8</v>
      </c>
      <c r="C124" s="7">
        <v>360</v>
      </c>
      <c r="D124" s="7">
        <v>260</v>
      </c>
    </row>
    <row r="125" spans="1:4" x14ac:dyDescent="0.3">
      <c r="B125" s="7" t="s">
        <v>9</v>
      </c>
      <c r="C125" s="7">
        <v>370</v>
      </c>
      <c r="D125" s="7">
        <v>280</v>
      </c>
    </row>
    <row r="126" spans="1:4" x14ac:dyDescent="0.3">
      <c r="B126" s="7" t="s">
        <v>10</v>
      </c>
      <c r="C126" s="7">
        <v>355</v>
      </c>
      <c r="D126" s="7">
        <v>275</v>
      </c>
    </row>
    <row r="127" spans="1:4" x14ac:dyDescent="0.3">
      <c r="B127" s="7" t="s">
        <v>11</v>
      </c>
      <c r="C127" s="7">
        <v>340</v>
      </c>
      <c r="D127" s="7">
        <v>260</v>
      </c>
    </row>
    <row r="128" spans="1:4" x14ac:dyDescent="0.3">
      <c r="B128" s="7" t="s">
        <v>12</v>
      </c>
      <c r="C128" s="7">
        <v>330</v>
      </c>
      <c r="D128" s="7">
        <v>240</v>
      </c>
    </row>
    <row r="129" spans="1:4" x14ac:dyDescent="0.3">
      <c r="B129" s="7" t="s">
        <v>13</v>
      </c>
      <c r="C129" s="7">
        <v>320</v>
      </c>
      <c r="D129" s="7">
        <v>230</v>
      </c>
    </row>
    <row r="131" spans="1:4" x14ac:dyDescent="0.3">
      <c r="B131" t="s">
        <v>121</v>
      </c>
    </row>
    <row r="133" spans="1:4" x14ac:dyDescent="0.3">
      <c r="A133" s="3">
        <v>2.4</v>
      </c>
      <c r="B133" s="3" t="s">
        <v>122</v>
      </c>
    </row>
    <row r="135" spans="1:4" x14ac:dyDescent="0.3">
      <c r="B135" s="4" t="s">
        <v>38</v>
      </c>
      <c r="C135" s="4" t="s">
        <v>123</v>
      </c>
    </row>
    <row r="136" spans="1:4" x14ac:dyDescent="0.3">
      <c r="B136" s="7" t="s">
        <v>3</v>
      </c>
      <c r="C136" s="7">
        <v>20</v>
      </c>
    </row>
    <row r="137" spans="1:4" x14ac:dyDescent="0.3">
      <c r="B137" s="7" t="s">
        <v>4</v>
      </c>
      <c r="C137" s="7">
        <v>70</v>
      </c>
    </row>
    <row r="138" spans="1:4" x14ac:dyDescent="0.3">
      <c r="B138" s="7" t="s">
        <v>5</v>
      </c>
      <c r="C138" s="7">
        <v>110</v>
      </c>
    </row>
    <row r="139" spans="1:4" x14ac:dyDescent="0.3">
      <c r="B139" s="7" t="s">
        <v>6</v>
      </c>
      <c r="C139" s="7">
        <v>120</v>
      </c>
    </row>
    <row r="140" spans="1:4" x14ac:dyDescent="0.3">
      <c r="B140" s="7" t="s">
        <v>7</v>
      </c>
      <c r="C140" s="7">
        <v>100</v>
      </c>
    </row>
    <row r="141" spans="1:4" x14ac:dyDescent="0.3">
      <c r="B141" s="7" t="s">
        <v>8</v>
      </c>
      <c r="C141" s="7">
        <v>80</v>
      </c>
    </row>
    <row r="142" spans="1:4" x14ac:dyDescent="0.3">
      <c r="B142" s="7" t="s">
        <v>9</v>
      </c>
      <c r="C142" s="7">
        <v>30</v>
      </c>
    </row>
    <row r="144" spans="1:4" x14ac:dyDescent="0.3">
      <c r="B144" t="s">
        <v>124</v>
      </c>
    </row>
    <row r="147" spans="1:17" x14ac:dyDescent="0.3">
      <c r="A147" s="3">
        <v>2.5</v>
      </c>
      <c r="B147" s="3" t="s">
        <v>125</v>
      </c>
    </row>
    <row r="150" spans="1:17" x14ac:dyDescent="0.3">
      <c r="B150" s="3" t="s">
        <v>126</v>
      </c>
      <c r="C150" s="3"/>
      <c r="D150" s="3"/>
      <c r="E150" s="3"/>
      <c r="F150" s="3" t="s">
        <v>129</v>
      </c>
      <c r="G150" s="3"/>
      <c r="H150" s="3"/>
      <c r="I150" s="3"/>
      <c r="J150" s="3" t="s">
        <v>130</v>
      </c>
      <c r="K150" s="3"/>
      <c r="L150" s="3"/>
      <c r="M150" s="3"/>
      <c r="N150" s="3" t="s">
        <v>132</v>
      </c>
      <c r="O150" s="3"/>
      <c r="P150" s="3"/>
      <c r="Q150" s="36"/>
    </row>
    <row r="152" spans="1:17" ht="28.8" x14ac:dyDescent="0.3">
      <c r="B152" s="4" t="s">
        <v>38</v>
      </c>
      <c r="C152" s="4" t="s">
        <v>117</v>
      </c>
      <c r="D152" s="4" t="s">
        <v>127</v>
      </c>
      <c r="F152" s="4" t="s">
        <v>38</v>
      </c>
      <c r="G152" s="4" t="s">
        <v>117</v>
      </c>
      <c r="H152" s="4" t="s">
        <v>128</v>
      </c>
      <c r="J152" s="4" t="s">
        <v>38</v>
      </c>
      <c r="K152" s="4" t="s">
        <v>117</v>
      </c>
      <c r="L152" s="4" t="s">
        <v>131</v>
      </c>
      <c r="N152" s="4" t="s">
        <v>38</v>
      </c>
      <c r="O152" s="4" t="s">
        <v>117</v>
      </c>
      <c r="P152" s="4" t="s">
        <v>133</v>
      </c>
    </row>
    <row r="153" spans="1:17" x14ac:dyDescent="0.3">
      <c r="B153" s="7" t="s">
        <v>2</v>
      </c>
      <c r="C153" s="7">
        <v>500</v>
      </c>
      <c r="D153" s="7">
        <v>500</v>
      </c>
      <c r="F153" s="7" t="s">
        <v>2</v>
      </c>
      <c r="G153" s="7">
        <v>500</v>
      </c>
      <c r="H153" s="7">
        <v>500</v>
      </c>
      <c r="J153" s="7" t="s">
        <v>2</v>
      </c>
      <c r="K153" s="7">
        <v>500</v>
      </c>
      <c r="L153" s="7">
        <v>1000</v>
      </c>
      <c r="N153" s="7" t="s">
        <v>2</v>
      </c>
      <c r="O153" s="7">
        <v>500</v>
      </c>
      <c r="P153" s="7">
        <v>500</v>
      </c>
    </row>
    <row r="154" spans="1:17" x14ac:dyDescent="0.3">
      <c r="B154" s="7" t="s">
        <v>3</v>
      </c>
      <c r="C154" s="7">
        <v>560</v>
      </c>
      <c r="D154" s="7">
        <v>560</v>
      </c>
      <c r="F154" s="7" t="s">
        <v>3</v>
      </c>
      <c r="G154" s="7">
        <v>560</v>
      </c>
      <c r="H154" s="7">
        <v>560</v>
      </c>
      <c r="J154" s="7" t="s">
        <v>3</v>
      </c>
      <c r="K154" s="7">
        <v>560</v>
      </c>
      <c r="L154" s="7">
        <v>1120</v>
      </c>
      <c r="N154" s="7" t="s">
        <v>3</v>
      </c>
      <c r="O154" s="7">
        <v>560</v>
      </c>
      <c r="P154" s="7">
        <v>560</v>
      </c>
    </row>
    <row r="155" spans="1:17" x14ac:dyDescent="0.3">
      <c r="B155" s="7" t="s">
        <v>4</v>
      </c>
      <c r="C155" s="7">
        <v>600</v>
      </c>
      <c r="D155" s="7">
        <v>600</v>
      </c>
      <c r="F155" s="7" t="s">
        <v>4</v>
      </c>
      <c r="G155" s="7">
        <v>600</v>
      </c>
      <c r="H155" s="7">
        <v>600</v>
      </c>
      <c r="J155" s="7" t="s">
        <v>4</v>
      </c>
      <c r="K155" s="7">
        <v>600</v>
      </c>
      <c r="L155" s="7">
        <v>1200</v>
      </c>
      <c r="N155" s="7" t="s">
        <v>4</v>
      </c>
      <c r="O155" s="7">
        <v>600</v>
      </c>
      <c r="P155" s="7">
        <v>600</v>
      </c>
    </row>
    <row r="156" spans="1:17" x14ac:dyDescent="0.3">
      <c r="B156" s="7" t="s">
        <v>5</v>
      </c>
      <c r="C156" s="7">
        <v>600</v>
      </c>
      <c r="D156" s="7">
        <v>600</v>
      </c>
      <c r="F156" s="7" t="s">
        <v>5</v>
      </c>
      <c r="G156" s="7">
        <v>600</v>
      </c>
      <c r="H156" s="7">
        <v>600</v>
      </c>
      <c r="J156" s="7" t="s">
        <v>5</v>
      </c>
      <c r="K156" s="7">
        <v>600</v>
      </c>
      <c r="L156" s="7">
        <v>1200</v>
      </c>
      <c r="N156" s="7" t="s">
        <v>5</v>
      </c>
      <c r="O156" s="7">
        <v>600</v>
      </c>
      <c r="P156" s="7">
        <v>600</v>
      </c>
    </row>
    <row r="157" spans="1:17" x14ac:dyDescent="0.3">
      <c r="B157" s="7" t="s">
        <v>6</v>
      </c>
      <c r="C157" s="7">
        <v>600</v>
      </c>
      <c r="D157" s="7">
        <v>600</v>
      </c>
      <c r="F157" s="7" t="s">
        <v>6</v>
      </c>
      <c r="G157" s="7">
        <v>600</v>
      </c>
      <c r="H157" s="7">
        <v>600</v>
      </c>
      <c r="J157" s="7" t="s">
        <v>6</v>
      </c>
      <c r="K157" s="7">
        <v>600</v>
      </c>
      <c r="L157" s="7">
        <v>1200</v>
      </c>
      <c r="N157" s="7" t="s">
        <v>6</v>
      </c>
      <c r="O157" s="7">
        <v>600</v>
      </c>
      <c r="P157" s="7">
        <v>600</v>
      </c>
    </row>
    <row r="158" spans="1:17" x14ac:dyDescent="0.3">
      <c r="B158" s="7" t="s">
        <v>7</v>
      </c>
      <c r="C158" s="7">
        <v>600</v>
      </c>
      <c r="D158" s="7">
        <v>600</v>
      </c>
      <c r="F158" s="7" t="s">
        <v>7</v>
      </c>
      <c r="G158" s="7">
        <v>600</v>
      </c>
      <c r="H158" s="7">
        <v>600</v>
      </c>
      <c r="J158" s="7" t="s">
        <v>7</v>
      </c>
      <c r="K158" s="7">
        <v>600</v>
      </c>
      <c r="L158" s="7">
        <v>1200</v>
      </c>
      <c r="N158" s="7" t="s">
        <v>7</v>
      </c>
      <c r="O158" s="7">
        <v>600</v>
      </c>
      <c r="P158" s="7">
        <v>600</v>
      </c>
    </row>
    <row r="159" spans="1:17" x14ac:dyDescent="0.3">
      <c r="B159" s="7" t="s">
        <v>8</v>
      </c>
      <c r="C159" s="7">
        <v>600</v>
      </c>
      <c r="D159" s="7">
        <v>600</v>
      </c>
      <c r="F159" s="7" t="s">
        <v>8</v>
      </c>
      <c r="G159" s="7">
        <v>600</v>
      </c>
      <c r="H159" s="7">
        <v>600</v>
      </c>
      <c r="J159" s="7" t="s">
        <v>8</v>
      </c>
      <c r="K159" s="7">
        <v>600</v>
      </c>
      <c r="L159" s="7">
        <v>1200</v>
      </c>
      <c r="N159" s="7" t="s">
        <v>8</v>
      </c>
      <c r="O159" s="7">
        <v>600</v>
      </c>
      <c r="P159" s="7">
        <v>600</v>
      </c>
    </row>
    <row r="160" spans="1:17" x14ac:dyDescent="0.3">
      <c r="B160" s="7" t="s">
        <v>9</v>
      </c>
      <c r="C160" s="7">
        <v>600</v>
      </c>
      <c r="D160" s="7">
        <v>600</v>
      </c>
      <c r="F160" s="7" t="s">
        <v>9</v>
      </c>
      <c r="G160" s="7">
        <v>600</v>
      </c>
      <c r="H160" s="7">
        <v>600</v>
      </c>
      <c r="J160" s="7" t="s">
        <v>9</v>
      </c>
      <c r="K160" s="7">
        <v>600</v>
      </c>
      <c r="L160" s="7">
        <v>1200</v>
      </c>
      <c r="N160" s="7" t="s">
        <v>9</v>
      </c>
      <c r="O160" s="7">
        <v>600</v>
      </c>
      <c r="P160" s="7">
        <v>600</v>
      </c>
    </row>
    <row r="161" spans="2:16" x14ac:dyDescent="0.3">
      <c r="B161" s="7" t="s">
        <v>10</v>
      </c>
      <c r="C161" s="7">
        <v>600</v>
      </c>
      <c r="D161" s="7">
        <v>600</v>
      </c>
      <c r="F161" s="7" t="s">
        <v>10</v>
      </c>
      <c r="G161" s="7">
        <v>600</v>
      </c>
      <c r="H161" s="7">
        <v>600</v>
      </c>
      <c r="J161" s="7" t="s">
        <v>10</v>
      </c>
      <c r="K161" s="7">
        <v>600</v>
      </c>
      <c r="L161" s="7">
        <v>1200</v>
      </c>
      <c r="N161" s="7" t="s">
        <v>10</v>
      </c>
      <c r="O161" s="7">
        <v>600</v>
      </c>
      <c r="P161" s="7">
        <v>600</v>
      </c>
    </row>
    <row r="162" spans="2:16" x14ac:dyDescent="0.3">
      <c r="B162" s="7" t="s">
        <v>11</v>
      </c>
      <c r="C162" s="7">
        <v>600</v>
      </c>
      <c r="D162" s="7">
        <v>600</v>
      </c>
      <c r="F162" s="7" t="s">
        <v>11</v>
      </c>
      <c r="G162" s="7">
        <v>600</v>
      </c>
      <c r="H162" s="7">
        <v>600</v>
      </c>
      <c r="J162" s="7" t="s">
        <v>11</v>
      </c>
      <c r="K162" s="7">
        <v>600</v>
      </c>
      <c r="L162" s="7">
        <v>1200</v>
      </c>
      <c r="N162" s="7" t="s">
        <v>11</v>
      </c>
      <c r="O162" s="7">
        <v>600</v>
      </c>
      <c r="P162" s="7">
        <v>600</v>
      </c>
    </row>
    <row r="163" spans="2:16" x14ac:dyDescent="0.3">
      <c r="B163" s="7" t="s">
        <v>12</v>
      </c>
      <c r="C163" s="7">
        <v>570</v>
      </c>
      <c r="D163" s="7">
        <v>570</v>
      </c>
      <c r="F163" s="7" t="s">
        <v>12</v>
      </c>
      <c r="G163" s="7">
        <v>570</v>
      </c>
      <c r="H163" s="7">
        <v>570</v>
      </c>
      <c r="J163" s="7" t="s">
        <v>12</v>
      </c>
      <c r="K163" s="7">
        <v>570</v>
      </c>
      <c r="L163" s="7">
        <v>1140</v>
      </c>
      <c r="N163" s="7" t="s">
        <v>12</v>
      </c>
      <c r="O163" s="7">
        <v>570</v>
      </c>
      <c r="P163" s="7">
        <v>570</v>
      </c>
    </row>
    <row r="164" spans="2:16" x14ac:dyDescent="0.3">
      <c r="B164" s="7" t="s">
        <v>13</v>
      </c>
      <c r="C164" s="7">
        <v>550</v>
      </c>
      <c r="D164" s="7">
        <v>550</v>
      </c>
      <c r="F164" s="7" t="s">
        <v>13</v>
      </c>
      <c r="G164" s="7">
        <v>550</v>
      </c>
      <c r="H164" s="7">
        <v>550</v>
      </c>
      <c r="J164" s="7" t="s">
        <v>13</v>
      </c>
      <c r="K164" s="7">
        <v>550</v>
      </c>
      <c r="L164" s="7">
        <v>1100</v>
      </c>
      <c r="N164" s="7" t="s">
        <v>13</v>
      </c>
      <c r="O164" s="7">
        <v>550</v>
      </c>
      <c r="P164" s="7">
        <v>550</v>
      </c>
    </row>
  </sheetData>
  <mergeCells count="28">
    <mergeCell ref="B95:C95"/>
    <mergeCell ref="B96:C96"/>
    <mergeCell ref="B97:C97"/>
    <mergeCell ref="B6:C6"/>
    <mergeCell ref="B7:C7"/>
    <mergeCell ref="B8:C8"/>
    <mergeCell ref="B9:C9"/>
    <mergeCell ref="B10:C10"/>
    <mergeCell ref="B11:C11"/>
    <mergeCell ref="B12:C12"/>
    <mergeCell ref="B91:C91"/>
    <mergeCell ref="B92:C92"/>
    <mergeCell ref="B93:C93"/>
    <mergeCell ref="B94:C94"/>
    <mergeCell ref="D97:F97"/>
    <mergeCell ref="D91:F91"/>
    <mergeCell ref="D6:E6"/>
    <mergeCell ref="D92:F92"/>
    <mergeCell ref="D93:F93"/>
    <mergeCell ref="D94:F94"/>
    <mergeCell ref="D95:F95"/>
    <mergeCell ref="D96:F96"/>
    <mergeCell ref="D7:E7"/>
    <mergeCell ref="D8:E8"/>
    <mergeCell ref="D9:E9"/>
    <mergeCell ref="D10:E10"/>
    <mergeCell ref="D11:E11"/>
    <mergeCell ref="D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CB68-8429-4760-BEF9-70493A976FC3}">
  <dimension ref="A3:P182"/>
  <sheetViews>
    <sheetView workbookViewId="0">
      <selection activeCell="D16" sqref="D16:E16"/>
    </sheetView>
  </sheetViews>
  <sheetFormatPr defaultRowHeight="14.4" x14ac:dyDescent="0.3"/>
  <cols>
    <col min="2" max="2" width="11.33203125" customWidth="1"/>
    <col min="3" max="3" width="12.33203125" customWidth="1"/>
    <col min="4" max="4" width="11" customWidth="1"/>
    <col min="12" max="12" width="10.21875" customWidth="1"/>
    <col min="15" max="15" width="10.21875" customWidth="1"/>
  </cols>
  <sheetData>
    <row r="3" spans="1:6" s="26" customFormat="1" ht="25.8" x14ac:dyDescent="0.5">
      <c r="A3" s="25"/>
      <c r="B3" s="26" t="s">
        <v>198</v>
      </c>
    </row>
    <row r="5" spans="1:6" ht="28.8" x14ac:dyDescent="0.3">
      <c r="B5" s="4" t="s">
        <v>151</v>
      </c>
      <c r="C5" s="4" t="s">
        <v>152</v>
      </c>
      <c r="D5" s="4" t="s">
        <v>59</v>
      </c>
      <c r="E5" s="4" t="s">
        <v>60</v>
      </c>
    </row>
    <row r="6" spans="1:6" x14ac:dyDescent="0.3">
      <c r="B6" s="7" t="s">
        <v>153</v>
      </c>
      <c r="C6" s="7" t="s">
        <v>51</v>
      </c>
      <c r="D6" s="7">
        <v>0.12</v>
      </c>
      <c r="E6" s="5">
        <v>0.22</v>
      </c>
    </row>
    <row r="7" spans="1:6" x14ac:dyDescent="0.3">
      <c r="B7" s="7" t="s">
        <v>153</v>
      </c>
      <c r="C7" s="7" t="s">
        <v>54</v>
      </c>
      <c r="D7" s="7">
        <v>0.15</v>
      </c>
      <c r="E7" s="5">
        <v>0.25</v>
      </c>
    </row>
    <row r="8" spans="1:6" x14ac:dyDescent="0.3">
      <c r="B8" s="7" t="s">
        <v>153</v>
      </c>
      <c r="C8" s="7" t="s">
        <v>53</v>
      </c>
      <c r="D8" s="7">
        <v>0.05</v>
      </c>
      <c r="E8" s="5">
        <v>0.15</v>
      </c>
    </row>
    <row r="9" spans="1:6" x14ac:dyDescent="0.3">
      <c r="B9" s="7" t="s">
        <v>153</v>
      </c>
      <c r="C9" s="7" t="s">
        <v>52</v>
      </c>
      <c r="D9" s="7">
        <v>0.03</v>
      </c>
      <c r="E9" s="5">
        <v>0.13</v>
      </c>
    </row>
    <row r="13" spans="1:6" ht="23.4" x14ac:dyDescent="0.3">
      <c r="B13" s="33" t="s">
        <v>134</v>
      </c>
      <c r="F13" s="20"/>
    </row>
    <row r="14" spans="1:6" x14ac:dyDescent="0.3">
      <c r="F14" s="20"/>
    </row>
    <row r="15" spans="1:6" x14ac:dyDescent="0.3">
      <c r="B15" s="56" t="s">
        <v>14</v>
      </c>
      <c r="C15" s="56"/>
      <c r="D15" s="56" t="s">
        <v>15</v>
      </c>
      <c r="E15" s="56"/>
      <c r="F15" s="20"/>
    </row>
    <row r="16" spans="1:6" x14ac:dyDescent="0.3">
      <c r="B16" s="51" t="s">
        <v>80</v>
      </c>
      <c r="C16" s="51"/>
      <c r="D16" s="51">
        <v>7123194.5</v>
      </c>
      <c r="E16" s="51"/>
      <c r="F16" s="20"/>
    </row>
    <row r="17" spans="2:6" x14ac:dyDescent="0.3">
      <c r="B17" s="51" t="s">
        <v>135</v>
      </c>
      <c r="C17" s="51"/>
      <c r="D17" s="51" t="s">
        <v>136</v>
      </c>
      <c r="E17" s="51"/>
      <c r="F17" s="21"/>
    </row>
    <row r="18" spans="2:6" x14ac:dyDescent="0.3">
      <c r="B18" s="51" t="s">
        <v>85</v>
      </c>
      <c r="C18" s="51"/>
      <c r="D18" s="51">
        <v>0</v>
      </c>
      <c r="E18" s="51"/>
    </row>
    <row r="19" spans="2:6" x14ac:dyDescent="0.3">
      <c r="B19" s="51" t="s">
        <v>87</v>
      </c>
      <c r="C19" s="51"/>
      <c r="D19" s="51">
        <v>0</v>
      </c>
      <c r="E19" s="51"/>
    </row>
    <row r="20" spans="2:6" x14ac:dyDescent="0.3">
      <c r="B20" s="51" t="s">
        <v>113</v>
      </c>
      <c r="C20" s="51"/>
      <c r="D20" s="51" t="s">
        <v>137</v>
      </c>
      <c r="E20" s="51"/>
    </row>
    <row r="22" spans="2:6" ht="23.4" x14ac:dyDescent="0.3">
      <c r="B22" s="33" t="s">
        <v>138</v>
      </c>
    </row>
    <row r="24" spans="2:6" x14ac:dyDescent="0.3">
      <c r="B24" s="4" t="s">
        <v>38</v>
      </c>
      <c r="C24" s="4" t="s">
        <v>0</v>
      </c>
      <c r="D24" s="4" t="s">
        <v>1</v>
      </c>
      <c r="E24" s="4" t="s">
        <v>39</v>
      </c>
    </row>
    <row r="25" spans="2:6" x14ac:dyDescent="0.3">
      <c r="B25" s="7" t="s">
        <v>2</v>
      </c>
      <c r="C25" s="7">
        <v>100</v>
      </c>
      <c r="D25" s="7">
        <v>400</v>
      </c>
      <c r="E25" s="7">
        <v>500</v>
      </c>
    </row>
    <row r="26" spans="2:6" x14ac:dyDescent="0.3">
      <c r="B26" s="7" t="s">
        <v>3</v>
      </c>
      <c r="C26" s="7">
        <v>140</v>
      </c>
      <c r="D26" s="7">
        <v>400</v>
      </c>
      <c r="E26" s="7">
        <v>540</v>
      </c>
    </row>
    <row r="27" spans="2:6" x14ac:dyDescent="0.3">
      <c r="B27" s="7" t="s">
        <v>4</v>
      </c>
      <c r="C27" s="7">
        <v>150</v>
      </c>
      <c r="D27" s="7">
        <v>400</v>
      </c>
      <c r="E27" s="7">
        <v>550</v>
      </c>
    </row>
    <row r="28" spans="2:6" x14ac:dyDescent="0.3">
      <c r="B28" s="7" t="s">
        <v>5</v>
      </c>
      <c r="C28" s="7">
        <v>160</v>
      </c>
      <c r="D28" s="7">
        <v>400</v>
      </c>
      <c r="E28" s="7">
        <v>560</v>
      </c>
    </row>
    <row r="29" spans="2:6" x14ac:dyDescent="0.3">
      <c r="B29" s="7" t="s">
        <v>6</v>
      </c>
      <c r="C29" s="7">
        <v>190</v>
      </c>
      <c r="D29" s="7">
        <v>400</v>
      </c>
      <c r="E29" s="7">
        <v>590</v>
      </c>
    </row>
    <row r="30" spans="2:6" x14ac:dyDescent="0.3">
      <c r="B30" s="7" t="s">
        <v>7</v>
      </c>
      <c r="C30" s="7">
        <v>220</v>
      </c>
      <c r="D30" s="7">
        <v>400</v>
      </c>
      <c r="E30" s="7">
        <v>620</v>
      </c>
    </row>
    <row r="31" spans="2:6" x14ac:dyDescent="0.3">
      <c r="B31" s="7" t="s">
        <v>8</v>
      </c>
      <c r="C31" s="7">
        <v>220</v>
      </c>
      <c r="D31" s="7">
        <v>400</v>
      </c>
      <c r="E31" s="7">
        <v>620</v>
      </c>
    </row>
    <row r="32" spans="2:6" x14ac:dyDescent="0.3">
      <c r="B32" s="7" t="s">
        <v>9</v>
      </c>
      <c r="C32" s="7">
        <v>250</v>
      </c>
      <c r="D32" s="7">
        <v>400</v>
      </c>
      <c r="E32" s="7">
        <v>650</v>
      </c>
    </row>
    <row r="33" spans="2:5" x14ac:dyDescent="0.3">
      <c r="B33" s="7" t="s">
        <v>10</v>
      </c>
      <c r="C33" s="7">
        <v>230</v>
      </c>
      <c r="D33" s="7">
        <v>400</v>
      </c>
      <c r="E33" s="7">
        <v>630</v>
      </c>
    </row>
    <row r="34" spans="2:5" x14ac:dyDescent="0.3">
      <c r="B34" s="7" t="s">
        <v>11</v>
      </c>
      <c r="C34" s="7">
        <v>200</v>
      </c>
      <c r="D34" s="7">
        <v>400</v>
      </c>
      <c r="E34" s="7">
        <v>600</v>
      </c>
    </row>
    <row r="35" spans="2:5" x14ac:dyDescent="0.3">
      <c r="B35" s="7" t="s">
        <v>12</v>
      </c>
      <c r="C35" s="7">
        <v>170</v>
      </c>
      <c r="D35" s="7">
        <v>400</v>
      </c>
      <c r="E35" s="7">
        <v>570</v>
      </c>
    </row>
    <row r="36" spans="2:5" x14ac:dyDescent="0.3">
      <c r="B36" s="7" t="s">
        <v>13</v>
      </c>
      <c r="C36" s="7">
        <v>150</v>
      </c>
      <c r="D36" s="7">
        <v>400</v>
      </c>
      <c r="E36" s="7">
        <v>550</v>
      </c>
    </row>
    <row r="39" spans="2:5" ht="23.4" x14ac:dyDescent="0.3">
      <c r="B39" s="33" t="s">
        <v>139</v>
      </c>
    </row>
    <row r="41" spans="2:5" ht="28.8" x14ac:dyDescent="0.3">
      <c r="B41" s="4" t="s">
        <v>38</v>
      </c>
      <c r="C41" s="4" t="s">
        <v>120</v>
      </c>
      <c r="D41" s="4" t="s">
        <v>140</v>
      </c>
      <c r="E41" s="4" t="s">
        <v>141</v>
      </c>
    </row>
    <row r="42" spans="2:5" x14ac:dyDescent="0.3">
      <c r="B42" s="7" t="s">
        <v>2</v>
      </c>
      <c r="C42" s="7">
        <v>100</v>
      </c>
      <c r="D42" s="7">
        <v>300</v>
      </c>
      <c r="E42" s="7">
        <v>100</v>
      </c>
    </row>
    <row r="43" spans="2:5" x14ac:dyDescent="0.3">
      <c r="B43" s="7" t="s">
        <v>3</v>
      </c>
      <c r="C43" s="7">
        <v>140</v>
      </c>
      <c r="D43" s="7">
        <v>320</v>
      </c>
      <c r="E43" s="7">
        <v>80</v>
      </c>
    </row>
    <row r="44" spans="2:5" x14ac:dyDescent="0.3">
      <c r="B44" s="7" t="s">
        <v>4</v>
      </c>
      <c r="C44" s="7">
        <v>150</v>
      </c>
      <c r="D44" s="7">
        <v>310</v>
      </c>
      <c r="E44" s="7">
        <v>90</v>
      </c>
    </row>
    <row r="45" spans="2:5" x14ac:dyDescent="0.3">
      <c r="B45" s="7" t="s">
        <v>5</v>
      </c>
      <c r="C45" s="7">
        <v>160</v>
      </c>
      <c r="D45" s="7">
        <v>330</v>
      </c>
      <c r="E45" s="7">
        <v>70</v>
      </c>
    </row>
    <row r="46" spans="2:5" x14ac:dyDescent="0.3">
      <c r="B46" s="7" t="s">
        <v>6</v>
      </c>
      <c r="C46" s="7">
        <v>190</v>
      </c>
      <c r="D46" s="7">
        <v>340</v>
      </c>
      <c r="E46" s="7">
        <v>60</v>
      </c>
    </row>
    <row r="47" spans="2:5" x14ac:dyDescent="0.3">
      <c r="B47" s="7" t="s">
        <v>7</v>
      </c>
      <c r="C47" s="7">
        <v>220</v>
      </c>
      <c r="D47" s="7">
        <v>350</v>
      </c>
      <c r="E47" s="7">
        <v>50</v>
      </c>
    </row>
    <row r="48" spans="2:5" x14ac:dyDescent="0.3">
      <c r="B48" s="7" t="s">
        <v>8</v>
      </c>
      <c r="C48" s="7">
        <v>220</v>
      </c>
      <c r="D48" s="7">
        <v>360</v>
      </c>
      <c r="E48" s="7">
        <v>40</v>
      </c>
    </row>
    <row r="49" spans="2:5" x14ac:dyDescent="0.3">
      <c r="B49" s="7" t="s">
        <v>9</v>
      </c>
      <c r="C49" s="7">
        <v>250</v>
      </c>
      <c r="D49" s="7">
        <v>370</v>
      </c>
      <c r="E49" s="7">
        <v>30</v>
      </c>
    </row>
    <row r="50" spans="2:5" x14ac:dyDescent="0.3">
      <c r="B50" s="7" t="s">
        <v>10</v>
      </c>
      <c r="C50" s="7">
        <v>230</v>
      </c>
      <c r="D50" s="7">
        <v>355</v>
      </c>
      <c r="E50" s="7">
        <v>45</v>
      </c>
    </row>
    <row r="51" spans="2:5" x14ac:dyDescent="0.3">
      <c r="B51" s="7" t="s">
        <v>11</v>
      </c>
      <c r="C51" s="7">
        <v>200</v>
      </c>
      <c r="D51" s="7">
        <v>340</v>
      </c>
      <c r="E51" s="7">
        <v>60</v>
      </c>
    </row>
    <row r="52" spans="2:5" x14ac:dyDescent="0.3">
      <c r="B52" s="7" t="s">
        <v>12</v>
      </c>
      <c r="C52" s="7">
        <v>170</v>
      </c>
      <c r="D52" s="7">
        <v>330</v>
      </c>
      <c r="E52" s="7">
        <v>70</v>
      </c>
    </row>
    <row r="53" spans="2:5" x14ac:dyDescent="0.3">
      <c r="B53" s="7" t="s">
        <v>13</v>
      </c>
      <c r="C53" s="7">
        <v>150</v>
      </c>
      <c r="D53" s="7">
        <v>320</v>
      </c>
      <c r="E53" s="7">
        <v>80</v>
      </c>
    </row>
    <row r="56" spans="2:5" ht="23.4" x14ac:dyDescent="0.3">
      <c r="B56" s="33" t="s">
        <v>142</v>
      </c>
    </row>
    <row r="58" spans="2:5" x14ac:dyDescent="0.3">
      <c r="B58" s="4" t="s">
        <v>38</v>
      </c>
      <c r="C58" s="4" t="s">
        <v>0</v>
      </c>
      <c r="D58" s="4" t="s">
        <v>1</v>
      </c>
    </row>
    <row r="59" spans="2:5" x14ac:dyDescent="0.3">
      <c r="B59" s="7" t="s">
        <v>100</v>
      </c>
      <c r="C59" s="7">
        <v>0</v>
      </c>
      <c r="D59" s="7">
        <v>0</v>
      </c>
    </row>
    <row r="62" spans="2:5" ht="23.4" x14ac:dyDescent="0.3">
      <c r="B62" s="33" t="s">
        <v>143</v>
      </c>
    </row>
    <row r="64" spans="2:5" x14ac:dyDescent="0.3">
      <c r="B64" s="4" t="s">
        <v>38</v>
      </c>
      <c r="C64" s="4" t="s">
        <v>144</v>
      </c>
      <c r="D64" s="4" t="s">
        <v>145</v>
      </c>
    </row>
    <row r="65" spans="2:16" x14ac:dyDescent="0.3">
      <c r="B65" s="7" t="s">
        <v>100</v>
      </c>
      <c r="C65" s="7">
        <v>0</v>
      </c>
      <c r="D65" s="7">
        <v>0</v>
      </c>
    </row>
    <row r="68" spans="2:16" ht="23.4" x14ac:dyDescent="0.3">
      <c r="B68" s="33" t="s">
        <v>146</v>
      </c>
    </row>
    <row r="70" spans="2:16" ht="18" x14ac:dyDescent="0.3">
      <c r="B70" s="37" t="s">
        <v>147</v>
      </c>
      <c r="F70" s="37" t="s">
        <v>148</v>
      </c>
      <c r="J70" s="37" t="s">
        <v>149</v>
      </c>
      <c r="N70" s="37" t="s">
        <v>150</v>
      </c>
    </row>
    <row r="72" spans="2:16" ht="28.8" x14ac:dyDescent="0.3">
      <c r="B72" s="4" t="s">
        <v>38</v>
      </c>
      <c r="C72" s="4" t="s">
        <v>51</v>
      </c>
      <c r="D72" s="4" t="s">
        <v>52</v>
      </c>
      <c r="F72" s="4" t="s">
        <v>38</v>
      </c>
      <c r="G72" s="4" t="s">
        <v>53</v>
      </c>
      <c r="H72" s="4" t="s">
        <v>54</v>
      </c>
      <c r="J72" s="4" t="s">
        <v>38</v>
      </c>
      <c r="K72" s="4" t="s">
        <v>53</v>
      </c>
      <c r="L72" s="4" t="s">
        <v>54</v>
      </c>
      <c r="N72" s="4" t="s">
        <v>38</v>
      </c>
      <c r="O72" s="4" t="s">
        <v>51</v>
      </c>
      <c r="P72" s="4" t="s">
        <v>52</v>
      </c>
    </row>
    <row r="73" spans="2:16" x14ac:dyDescent="0.3">
      <c r="B73" s="7" t="s">
        <v>2</v>
      </c>
      <c r="C73" s="7">
        <v>100</v>
      </c>
      <c r="D73" s="7">
        <v>400</v>
      </c>
      <c r="F73" s="7" t="s">
        <v>2</v>
      </c>
      <c r="G73" s="7">
        <v>400</v>
      </c>
      <c r="H73" s="7">
        <v>100</v>
      </c>
      <c r="J73" s="7" t="s">
        <v>2</v>
      </c>
      <c r="K73" s="7">
        <v>800</v>
      </c>
      <c r="L73" s="7">
        <v>200</v>
      </c>
      <c r="N73" s="7" t="s">
        <v>2</v>
      </c>
      <c r="O73" s="7">
        <v>100</v>
      </c>
      <c r="P73" s="7">
        <v>400</v>
      </c>
    </row>
    <row r="74" spans="2:16" x14ac:dyDescent="0.3">
      <c r="B74" s="7" t="s">
        <v>3</v>
      </c>
      <c r="C74" s="7">
        <v>140</v>
      </c>
      <c r="D74" s="7">
        <v>400</v>
      </c>
      <c r="F74" s="7" t="s">
        <v>3</v>
      </c>
      <c r="G74" s="7">
        <v>400</v>
      </c>
      <c r="H74" s="7">
        <v>140</v>
      </c>
      <c r="J74" s="7" t="s">
        <v>3</v>
      </c>
      <c r="K74" s="7">
        <v>800</v>
      </c>
      <c r="L74" s="7">
        <v>280</v>
      </c>
      <c r="N74" s="7" t="s">
        <v>3</v>
      </c>
      <c r="O74" s="7">
        <v>140</v>
      </c>
      <c r="P74" s="7">
        <v>400</v>
      </c>
    </row>
    <row r="75" spans="2:16" x14ac:dyDescent="0.3">
      <c r="B75" s="7" t="s">
        <v>4</v>
      </c>
      <c r="C75" s="7">
        <v>150</v>
      </c>
      <c r="D75" s="7">
        <v>400</v>
      </c>
      <c r="F75" s="7" t="s">
        <v>4</v>
      </c>
      <c r="G75" s="7">
        <v>400</v>
      </c>
      <c r="H75" s="7">
        <v>150</v>
      </c>
      <c r="J75" s="7" t="s">
        <v>4</v>
      </c>
      <c r="K75" s="7">
        <v>800</v>
      </c>
      <c r="L75" s="7">
        <v>300</v>
      </c>
      <c r="N75" s="7" t="s">
        <v>4</v>
      </c>
      <c r="O75" s="7">
        <v>150</v>
      </c>
      <c r="P75" s="7">
        <v>400</v>
      </c>
    </row>
    <row r="76" spans="2:16" x14ac:dyDescent="0.3">
      <c r="B76" s="7" t="s">
        <v>5</v>
      </c>
      <c r="C76" s="7">
        <v>160</v>
      </c>
      <c r="D76" s="7">
        <v>400</v>
      </c>
      <c r="F76" s="7" t="s">
        <v>5</v>
      </c>
      <c r="G76" s="7">
        <v>400</v>
      </c>
      <c r="H76" s="7">
        <v>160</v>
      </c>
      <c r="J76" s="7" t="s">
        <v>5</v>
      </c>
      <c r="K76" s="7">
        <v>800</v>
      </c>
      <c r="L76" s="7">
        <v>320</v>
      </c>
      <c r="N76" s="7" t="s">
        <v>5</v>
      </c>
      <c r="O76" s="7">
        <v>160</v>
      </c>
      <c r="P76" s="7">
        <v>400</v>
      </c>
    </row>
    <row r="77" spans="2:16" x14ac:dyDescent="0.3">
      <c r="B77" s="7" t="s">
        <v>6</v>
      </c>
      <c r="C77" s="7">
        <v>190</v>
      </c>
      <c r="D77" s="7">
        <v>400</v>
      </c>
      <c r="F77" s="7" t="s">
        <v>6</v>
      </c>
      <c r="G77" s="7">
        <v>400</v>
      </c>
      <c r="H77" s="7">
        <v>190</v>
      </c>
      <c r="J77" s="7" t="s">
        <v>6</v>
      </c>
      <c r="K77" s="7">
        <v>800</v>
      </c>
      <c r="L77" s="7">
        <v>380</v>
      </c>
      <c r="N77" s="7" t="s">
        <v>6</v>
      </c>
      <c r="O77" s="7">
        <v>190</v>
      </c>
      <c r="P77" s="7">
        <v>400</v>
      </c>
    </row>
    <row r="78" spans="2:16" x14ac:dyDescent="0.3">
      <c r="B78" s="7" t="s">
        <v>7</v>
      </c>
      <c r="C78" s="7">
        <v>220</v>
      </c>
      <c r="D78" s="7">
        <v>400</v>
      </c>
      <c r="F78" s="7" t="s">
        <v>7</v>
      </c>
      <c r="G78" s="7">
        <v>400</v>
      </c>
      <c r="H78" s="7">
        <v>220</v>
      </c>
      <c r="J78" s="7" t="s">
        <v>7</v>
      </c>
      <c r="K78" s="7">
        <v>800</v>
      </c>
      <c r="L78" s="7">
        <v>440</v>
      </c>
      <c r="N78" s="7" t="s">
        <v>7</v>
      </c>
      <c r="O78" s="7">
        <v>220</v>
      </c>
      <c r="P78" s="7">
        <v>400</v>
      </c>
    </row>
    <row r="79" spans="2:16" x14ac:dyDescent="0.3">
      <c r="B79" s="7" t="s">
        <v>8</v>
      </c>
      <c r="C79" s="7">
        <v>220</v>
      </c>
      <c r="D79" s="7">
        <v>400</v>
      </c>
      <c r="F79" s="7" t="s">
        <v>8</v>
      </c>
      <c r="G79" s="7">
        <v>400</v>
      </c>
      <c r="H79" s="7">
        <v>220</v>
      </c>
      <c r="J79" s="7" t="s">
        <v>8</v>
      </c>
      <c r="K79" s="7">
        <v>800</v>
      </c>
      <c r="L79" s="7">
        <v>440</v>
      </c>
      <c r="N79" s="7" t="s">
        <v>8</v>
      </c>
      <c r="O79" s="7">
        <v>220</v>
      </c>
      <c r="P79" s="7">
        <v>400</v>
      </c>
    </row>
    <row r="80" spans="2:16" x14ac:dyDescent="0.3">
      <c r="B80" s="7" t="s">
        <v>9</v>
      </c>
      <c r="C80" s="7">
        <v>250</v>
      </c>
      <c r="D80" s="7">
        <v>400</v>
      </c>
      <c r="F80" s="7" t="s">
        <v>9</v>
      </c>
      <c r="G80" s="7">
        <v>400</v>
      </c>
      <c r="H80" s="7">
        <v>250</v>
      </c>
      <c r="J80" s="7" t="s">
        <v>9</v>
      </c>
      <c r="K80" s="7">
        <v>800</v>
      </c>
      <c r="L80" s="7">
        <v>500</v>
      </c>
      <c r="N80" s="7" t="s">
        <v>9</v>
      </c>
      <c r="O80" s="7">
        <v>250</v>
      </c>
      <c r="P80" s="7">
        <v>400</v>
      </c>
    </row>
    <row r="81" spans="1:16" x14ac:dyDescent="0.3">
      <c r="B81" s="7" t="s">
        <v>10</v>
      </c>
      <c r="C81" s="7">
        <v>230</v>
      </c>
      <c r="D81" s="7">
        <v>400</v>
      </c>
      <c r="F81" s="7" t="s">
        <v>10</v>
      </c>
      <c r="G81" s="7">
        <v>400</v>
      </c>
      <c r="H81" s="7">
        <v>230</v>
      </c>
      <c r="J81" s="7" t="s">
        <v>10</v>
      </c>
      <c r="K81" s="7">
        <v>800</v>
      </c>
      <c r="L81" s="7">
        <v>460</v>
      </c>
      <c r="N81" s="7" t="s">
        <v>10</v>
      </c>
      <c r="O81" s="7">
        <v>230</v>
      </c>
      <c r="P81" s="7">
        <v>400</v>
      </c>
    </row>
    <row r="82" spans="1:16" x14ac:dyDescent="0.3">
      <c r="B82" s="7" t="s">
        <v>11</v>
      </c>
      <c r="C82" s="7">
        <v>200</v>
      </c>
      <c r="D82" s="7">
        <v>400</v>
      </c>
      <c r="F82" s="7" t="s">
        <v>11</v>
      </c>
      <c r="G82" s="7">
        <v>400</v>
      </c>
      <c r="H82" s="7">
        <v>200</v>
      </c>
      <c r="J82" s="7" t="s">
        <v>11</v>
      </c>
      <c r="K82" s="7">
        <v>800</v>
      </c>
      <c r="L82" s="7">
        <v>400</v>
      </c>
      <c r="N82" s="7" t="s">
        <v>11</v>
      </c>
      <c r="O82" s="7">
        <v>200</v>
      </c>
      <c r="P82" s="7">
        <v>400</v>
      </c>
    </row>
    <row r="83" spans="1:16" x14ac:dyDescent="0.3">
      <c r="B83" s="7" t="s">
        <v>12</v>
      </c>
      <c r="C83" s="7">
        <v>170</v>
      </c>
      <c r="D83" s="7">
        <v>400</v>
      </c>
      <c r="F83" s="7" t="s">
        <v>12</v>
      </c>
      <c r="G83" s="7">
        <v>400</v>
      </c>
      <c r="H83" s="7">
        <v>170</v>
      </c>
      <c r="J83" s="7" t="s">
        <v>12</v>
      </c>
      <c r="K83" s="7">
        <v>800</v>
      </c>
      <c r="L83" s="7">
        <v>340</v>
      </c>
      <c r="N83" s="7" t="s">
        <v>12</v>
      </c>
      <c r="O83" s="7">
        <v>170</v>
      </c>
      <c r="P83" s="7">
        <v>400</v>
      </c>
    </row>
    <row r="84" spans="1:16" x14ac:dyDescent="0.3">
      <c r="B84" s="7" t="s">
        <v>13</v>
      </c>
      <c r="C84" s="7">
        <v>150</v>
      </c>
      <c r="D84" s="7">
        <v>400</v>
      </c>
      <c r="F84" s="7" t="s">
        <v>13</v>
      </c>
      <c r="G84" s="7">
        <v>400</v>
      </c>
      <c r="H84" s="7">
        <v>150</v>
      </c>
      <c r="J84" s="7" t="s">
        <v>13</v>
      </c>
      <c r="K84" s="7">
        <v>800</v>
      </c>
      <c r="L84" s="7">
        <v>300</v>
      </c>
      <c r="N84" s="7" t="s">
        <v>13</v>
      </c>
      <c r="O84" s="7">
        <v>150</v>
      </c>
      <c r="P84" s="7">
        <v>400</v>
      </c>
    </row>
    <row r="95" spans="1:16" s="26" customFormat="1" ht="25.8" x14ac:dyDescent="0.5">
      <c r="A95" s="25"/>
      <c r="B95" s="26" t="s">
        <v>199</v>
      </c>
    </row>
    <row r="97" spans="2:8" ht="28.8" x14ac:dyDescent="0.3">
      <c r="B97" s="4" t="s">
        <v>151</v>
      </c>
      <c r="C97" s="4" t="s">
        <v>152</v>
      </c>
      <c r="D97" s="4" t="s">
        <v>59</v>
      </c>
      <c r="E97" s="4" t="s">
        <v>60</v>
      </c>
      <c r="F97" s="22"/>
      <c r="G97" s="22"/>
      <c r="H97" s="23"/>
    </row>
    <row r="98" spans="2:8" x14ac:dyDescent="0.3">
      <c r="B98" s="7" t="s">
        <v>154</v>
      </c>
      <c r="C98" s="7" t="s">
        <v>51</v>
      </c>
      <c r="D98" s="7">
        <v>0.08</v>
      </c>
      <c r="E98" s="5">
        <v>0.28000000000000003</v>
      </c>
      <c r="F98" s="22"/>
      <c r="G98" s="22"/>
      <c r="H98" s="23"/>
    </row>
    <row r="99" spans="2:8" x14ac:dyDescent="0.3">
      <c r="B99" s="7" t="s">
        <v>154</v>
      </c>
      <c r="C99" s="7" t="s">
        <v>54</v>
      </c>
      <c r="D99" s="7">
        <v>0.1</v>
      </c>
      <c r="E99" s="5">
        <v>0.3</v>
      </c>
      <c r="F99" s="22"/>
      <c r="G99" s="22"/>
      <c r="H99" s="23"/>
    </row>
    <row r="100" spans="2:8" x14ac:dyDescent="0.3">
      <c r="B100" s="7" t="s">
        <v>154</v>
      </c>
      <c r="C100" s="7" t="s">
        <v>53</v>
      </c>
      <c r="D100" s="7">
        <v>0.03</v>
      </c>
      <c r="E100" s="5">
        <v>0.23</v>
      </c>
      <c r="F100" s="22"/>
      <c r="G100" s="22"/>
      <c r="H100" s="23"/>
    </row>
    <row r="101" spans="2:8" x14ac:dyDescent="0.3">
      <c r="B101" s="7" t="s">
        <v>154</v>
      </c>
      <c r="C101" s="7" t="s">
        <v>52</v>
      </c>
      <c r="D101" s="7">
        <v>0.05</v>
      </c>
      <c r="E101" s="5">
        <v>0.25</v>
      </c>
    </row>
    <row r="104" spans="2:8" ht="23.4" x14ac:dyDescent="0.3">
      <c r="B104" s="33" t="s">
        <v>134</v>
      </c>
    </row>
    <row r="106" spans="2:8" x14ac:dyDescent="0.3">
      <c r="B106" s="56" t="s">
        <v>14</v>
      </c>
      <c r="C106" s="56"/>
      <c r="D106" s="56" t="s">
        <v>15</v>
      </c>
      <c r="E106" s="56"/>
    </row>
    <row r="107" spans="2:8" x14ac:dyDescent="0.3">
      <c r="B107" s="51" t="s">
        <v>80</v>
      </c>
      <c r="C107" s="51"/>
      <c r="D107" s="51">
        <v>7153602.5</v>
      </c>
      <c r="E107" s="51"/>
    </row>
    <row r="108" spans="2:8" x14ac:dyDescent="0.3">
      <c r="B108" s="51" t="s">
        <v>155</v>
      </c>
      <c r="C108" s="51"/>
      <c r="D108" s="51" t="s">
        <v>156</v>
      </c>
      <c r="E108" s="51"/>
    </row>
    <row r="109" spans="2:8" x14ac:dyDescent="0.3">
      <c r="B109" s="51" t="s">
        <v>85</v>
      </c>
      <c r="C109" s="51"/>
      <c r="D109" s="51">
        <v>0</v>
      </c>
      <c r="E109" s="51"/>
    </row>
    <row r="110" spans="2:8" x14ac:dyDescent="0.3">
      <c r="B110" s="51" t="s">
        <v>87</v>
      </c>
      <c r="C110" s="51"/>
      <c r="D110" s="51">
        <v>0</v>
      </c>
      <c r="E110" s="51"/>
    </row>
    <row r="111" spans="2:8" x14ac:dyDescent="0.3">
      <c r="B111" s="51" t="s">
        <v>113</v>
      </c>
      <c r="C111" s="51"/>
      <c r="D111" s="51" t="s">
        <v>157</v>
      </c>
      <c r="E111" s="51"/>
    </row>
    <row r="114" spans="2:5" ht="23.4" x14ac:dyDescent="0.3">
      <c r="B114" s="33" t="s">
        <v>158</v>
      </c>
    </row>
    <row r="116" spans="2:5" x14ac:dyDescent="0.3">
      <c r="B116" s="4" t="s">
        <v>38</v>
      </c>
      <c r="C116" s="4" t="s">
        <v>0</v>
      </c>
      <c r="D116" s="4" t="s">
        <v>1</v>
      </c>
      <c r="E116" s="4" t="s">
        <v>39</v>
      </c>
    </row>
    <row r="117" spans="2:5" x14ac:dyDescent="0.3">
      <c r="B117" s="7" t="s">
        <v>2</v>
      </c>
      <c r="C117" s="7">
        <v>100</v>
      </c>
      <c r="D117" s="7">
        <v>400</v>
      </c>
      <c r="E117" s="7">
        <v>500</v>
      </c>
    </row>
    <row r="118" spans="2:5" x14ac:dyDescent="0.3">
      <c r="B118" s="7" t="s">
        <v>3</v>
      </c>
      <c r="C118" s="7">
        <v>140</v>
      </c>
      <c r="D118" s="7">
        <v>400</v>
      </c>
      <c r="E118" s="7">
        <v>540</v>
      </c>
    </row>
    <row r="119" spans="2:5" x14ac:dyDescent="0.3">
      <c r="B119" s="7" t="s">
        <v>4</v>
      </c>
      <c r="C119" s="7">
        <v>150</v>
      </c>
      <c r="D119" s="7">
        <v>400</v>
      </c>
      <c r="E119" s="7">
        <v>550</v>
      </c>
    </row>
    <row r="120" spans="2:5" x14ac:dyDescent="0.3">
      <c r="B120" s="7" t="s">
        <v>5</v>
      </c>
      <c r="C120" s="7">
        <v>160</v>
      </c>
      <c r="D120" s="7">
        <v>400</v>
      </c>
      <c r="E120" s="7">
        <v>560</v>
      </c>
    </row>
    <row r="121" spans="2:5" x14ac:dyDescent="0.3">
      <c r="B121" s="7" t="s">
        <v>6</v>
      </c>
      <c r="C121" s="7">
        <v>190</v>
      </c>
      <c r="D121" s="7">
        <v>400</v>
      </c>
      <c r="E121" s="7">
        <v>590</v>
      </c>
    </row>
    <row r="122" spans="2:5" x14ac:dyDescent="0.3">
      <c r="B122" s="7" t="s">
        <v>7</v>
      </c>
      <c r="C122" s="7">
        <v>220</v>
      </c>
      <c r="D122" s="7">
        <v>400</v>
      </c>
      <c r="E122" s="7">
        <v>620</v>
      </c>
    </row>
    <row r="123" spans="2:5" x14ac:dyDescent="0.3">
      <c r="B123" s="7" t="s">
        <v>8</v>
      </c>
      <c r="C123" s="7">
        <v>220</v>
      </c>
      <c r="D123" s="7">
        <v>400</v>
      </c>
      <c r="E123" s="7">
        <v>620</v>
      </c>
    </row>
    <row r="124" spans="2:5" x14ac:dyDescent="0.3">
      <c r="B124" s="7" t="s">
        <v>9</v>
      </c>
      <c r="C124" s="7">
        <v>250</v>
      </c>
      <c r="D124" s="7">
        <v>400</v>
      </c>
      <c r="E124" s="7">
        <v>650</v>
      </c>
    </row>
    <row r="125" spans="2:5" x14ac:dyDescent="0.3">
      <c r="B125" s="7" t="s">
        <v>10</v>
      </c>
      <c r="C125" s="7">
        <v>230</v>
      </c>
      <c r="D125" s="7">
        <v>400</v>
      </c>
      <c r="E125" s="7">
        <v>630</v>
      </c>
    </row>
    <row r="126" spans="2:5" x14ac:dyDescent="0.3">
      <c r="B126" s="7" t="s">
        <v>11</v>
      </c>
      <c r="C126" s="7">
        <v>200</v>
      </c>
      <c r="D126" s="7">
        <v>400</v>
      </c>
      <c r="E126" s="7">
        <v>600</v>
      </c>
    </row>
    <row r="127" spans="2:5" x14ac:dyDescent="0.3">
      <c r="B127" s="7" t="s">
        <v>12</v>
      </c>
      <c r="C127" s="7">
        <v>170</v>
      </c>
      <c r="D127" s="7">
        <v>400</v>
      </c>
      <c r="E127" s="7">
        <v>570</v>
      </c>
    </row>
    <row r="128" spans="2:5" x14ac:dyDescent="0.3">
      <c r="B128" s="7" t="s">
        <v>13</v>
      </c>
      <c r="C128" s="7">
        <v>150</v>
      </c>
      <c r="D128" s="7">
        <v>400</v>
      </c>
      <c r="E128" s="7">
        <v>550</v>
      </c>
    </row>
    <row r="131" spans="2:5" ht="23.4" x14ac:dyDescent="0.3">
      <c r="B131" s="33" t="s">
        <v>159</v>
      </c>
    </row>
    <row r="133" spans="2:5" ht="28.8" x14ac:dyDescent="0.3">
      <c r="B133" s="4" t="s">
        <v>38</v>
      </c>
      <c r="C133" s="4" t="s">
        <v>120</v>
      </c>
      <c r="D133" s="4" t="s">
        <v>140</v>
      </c>
      <c r="E133" s="4" t="s">
        <v>141</v>
      </c>
    </row>
    <row r="134" spans="2:5" x14ac:dyDescent="0.3">
      <c r="B134" s="7" t="s">
        <v>2</v>
      </c>
      <c r="C134" s="7">
        <v>100</v>
      </c>
      <c r="D134" s="7">
        <v>300</v>
      </c>
      <c r="E134" s="7">
        <v>100</v>
      </c>
    </row>
    <row r="135" spans="2:5" x14ac:dyDescent="0.3">
      <c r="B135" s="7" t="s">
        <v>3</v>
      </c>
      <c r="C135" s="7">
        <v>140</v>
      </c>
      <c r="D135" s="7">
        <v>320</v>
      </c>
      <c r="E135" s="7">
        <v>80</v>
      </c>
    </row>
    <row r="136" spans="2:5" x14ac:dyDescent="0.3">
      <c r="B136" s="7" t="s">
        <v>4</v>
      </c>
      <c r="C136" s="7">
        <v>150</v>
      </c>
      <c r="D136" s="7">
        <v>310</v>
      </c>
      <c r="E136" s="7">
        <v>90</v>
      </c>
    </row>
    <row r="137" spans="2:5" x14ac:dyDescent="0.3">
      <c r="B137" s="7" t="s">
        <v>5</v>
      </c>
      <c r="C137" s="7">
        <v>160</v>
      </c>
      <c r="D137" s="7">
        <v>330</v>
      </c>
      <c r="E137" s="7">
        <v>70</v>
      </c>
    </row>
    <row r="138" spans="2:5" x14ac:dyDescent="0.3">
      <c r="B138" s="7" t="s">
        <v>6</v>
      </c>
      <c r="C138" s="7">
        <v>190</v>
      </c>
      <c r="D138" s="7">
        <v>340</v>
      </c>
      <c r="E138" s="7">
        <v>60</v>
      </c>
    </row>
    <row r="139" spans="2:5" x14ac:dyDescent="0.3">
      <c r="B139" s="7" t="s">
        <v>7</v>
      </c>
      <c r="C139" s="7">
        <v>220</v>
      </c>
      <c r="D139" s="7">
        <v>350</v>
      </c>
      <c r="E139" s="7">
        <v>50</v>
      </c>
    </row>
    <row r="140" spans="2:5" x14ac:dyDescent="0.3">
      <c r="B140" s="7" t="s">
        <v>8</v>
      </c>
      <c r="C140" s="7">
        <v>220</v>
      </c>
      <c r="D140" s="7">
        <v>360</v>
      </c>
      <c r="E140" s="7">
        <v>40</v>
      </c>
    </row>
    <row r="141" spans="2:5" x14ac:dyDescent="0.3">
      <c r="B141" s="7" t="s">
        <v>9</v>
      </c>
      <c r="C141" s="7">
        <v>250</v>
      </c>
      <c r="D141" s="7">
        <v>370</v>
      </c>
      <c r="E141" s="7">
        <v>30</v>
      </c>
    </row>
    <row r="142" spans="2:5" x14ac:dyDescent="0.3">
      <c r="B142" s="7" t="s">
        <v>10</v>
      </c>
      <c r="C142" s="7">
        <v>230</v>
      </c>
      <c r="D142" s="7">
        <v>355</v>
      </c>
      <c r="E142" s="7">
        <v>45</v>
      </c>
    </row>
    <row r="143" spans="2:5" x14ac:dyDescent="0.3">
      <c r="B143" s="7" t="s">
        <v>11</v>
      </c>
      <c r="C143" s="7">
        <v>200</v>
      </c>
      <c r="D143" s="7">
        <v>340</v>
      </c>
      <c r="E143" s="7">
        <v>60</v>
      </c>
    </row>
    <row r="144" spans="2:5" x14ac:dyDescent="0.3">
      <c r="B144" s="7" t="s">
        <v>12</v>
      </c>
      <c r="C144" s="7">
        <v>170</v>
      </c>
      <c r="D144" s="7">
        <v>330</v>
      </c>
      <c r="E144" s="7">
        <v>70</v>
      </c>
    </row>
    <row r="145" spans="2:5" x14ac:dyDescent="0.3">
      <c r="B145" s="7" t="s">
        <v>13</v>
      </c>
      <c r="C145" s="7">
        <v>150</v>
      </c>
      <c r="D145" s="7">
        <v>320</v>
      </c>
      <c r="E145" s="7">
        <v>80</v>
      </c>
    </row>
    <row r="148" spans="2:5" ht="23.4" x14ac:dyDescent="0.3">
      <c r="B148" s="33" t="s">
        <v>160</v>
      </c>
    </row>
    <row r="150" spans="2:5" x14ac:dyDescent="0.3">
      <c r="B150" s="4" t="s">
        <v>38</v>
      </c>
      <c r="C150" s="4" t="s">
        <v>0</v>
      </c>
      <c r="D150" s="4" t="s">
        <v>1</v>
      </c>
    </row>
    <row r="151" spans="2:5" x14ac:dyDescent="0.3">
      <c r="B151" s="7" t="s">
        <v>100</v>
      </c>
      <c r="C151" s="7">
        <v>0</v>
      </c>
      <c r="D151" s="7">
        <v>0</v>
      </c>
    </row>
    <row r="154" spans="2:5" ht="23.4" x14ac:dyDescent="0.3">
      <c r="B154" s="33" t="s">
        <v>161</v>
      </c>
    </row>
    <row r="156" spans="2:5" x14ac:dyDescent="0.3">
      <c r="B156" s="4" t="s">
        <v>38</v>
      </c>
      <c r="C156" s="4" t="s">
        <v>144</v>
      </c>
      <c r="D156" s="4" t="s">
        <v>145</v>
      </c>
    </row>
    <row r="157" spans="2:5" x14ac:dyDescent="0.3">
      <c r="B157" s="7" t="s">
        <v>100</v>
      </c>
      <c r="C157" s="7">
        <v>0</v>
      </c>
      <c r="D157" s="7">
        <v>0</v>
      </c>
    </row>
    <row r="160" spans="2:5" ht="23.4" x14ac:dyDescent="0.3">
      <c r="B160" s="33" t="s">
        <v>146</v>
      </c>
    </row>
    <row r="162" spans="2:4" x14ac:dyDescent="0.3">
      <c r="B162" s="3" t="s">
        <v>153</v>
      </c>
    </row>
    <row r="163" spans="2:4" x14ac:dyDescent="0.3">
      <c r="B163" t="s">
        <v>162</v>
      </c>
    </row>
    <row r="165" spans="2:4" x14ac:dyDescent="0.3">
      <c r="B165" s="3" t="s">
        <v>163</v>
      </c>
    </row>
    <row r="166" spans="2:4" x14ac:dyDescent="0.3">
      <c r="B166" t="s">
        <v>162</v>
      </c>
    </row>
    <row r="168" spans="2:4" x14ac:dyDescent="0.3">
      <c r="B168" s="3" t="s">
        <v>164</v>
      </c>
    </row>
    <row r="170" spans="2:4" x14ac:dyDescent="0.3">
      <c r="B170" s="4" t="s">
        <v>38</v>
      </c>
      <c r="C170" s="4" t="s">
        <v>53</v>
      </c>
      <c r="D170" s="4" t="s">
        <v>54</v>
      </c>
    </row>
    <row r="171" spans="2:4" x14ac:dyDescent="0.3">
      <c r="B171" s="7" t="s">
        <v>2</v>
      </c>
      <c r="C171" s="7">
        <v>800</v>
      </c>
      <c r="D171" s="7">
        <v>200</v>
      </c>
    </row>
    <row r="172" spans="2:4" x14ac:dyDescent="0.3">
      <c r="B172" s="7" t="s">
        <v>3</v>
      </c>
      <c r="C172" s="7">
        <v>800</v>
      </c>
      <c r="D172" s="7">
        <v>280</v>
      </c>
    </row>
    <row r="173" spans="2:4" x14ac:dyDescent="0.3">
      <c r="B173" s="7" t="s">
        <v>4</v>
      </c>
      <c r="C173" s="7">
        <v>800</v>
      </c>
      <c r="D173" s="7">
        <v>300</v>
      </c>
    </row>
    <row r="174" spans="2:4" x14ac:dyDescent="0.3">
      <c r="B174" s="7" t="s">
        <v>5</v>
      </c>
      <c r="C174" s="7">
        <v>800</v>
      </c>
      <c r="D174" s="7">
        <v>320</v>
      </c>
    </row>
    <row r="175" spans="2:4" x14ac:dyDescent="0.3">
      <c r="B175" s="7" t="s">
        <v>6</v>
      </c>
      <c r="C175" s="7">
        <v>800</v>
      </c>
      <c r="D175" s="7">
        <v>380</v>
      </c>
    </row>
    <row r="176" spans="2:4" x14ac:dyDescent="0.3">
      <c r="B176" s="7" t="s">
        <v>7</v>
      </c>
      <c r="C176" s="7">
        <v>800</v>
      </c>
      <c r="D176" s="7">
        <v>440</v>
      </c>
    </row>
    <row r="177" spans="2:4" x14ac:dyDescent="0.3">
      <c r="B177" s="7" t="s">
        <v>8</v>
      </c>
      <c r="C177" s="7">
        <v>800</v>
      </c>
      <c r="D177" s="7">
        <v>440</v>
      </c>
    </row>
    <row r="178" spans="2:4" x14ac:dyDescent="0.3">
      <c r="B178" s="7" t="s">
        <v>9</v>
      </c>
      <c r="C178" s="7">
        <v>800</v>
      </c>
      <c r="D178" s="7">
        <v>500</v>
      </c>
    </row>
    <row r="179" spans="2:4" x14ac:dyDescent="0.3">
      <c r="B179" s="7" t="s">
        <v>10</v>
      </c>
      <c r="C179" s="7">
        <v>800</v>
      </c>
      <c r="D179" s="7">
        <v>460</v>
      </c>
    </row>
    <row r="180" spans="2:4" x14ac:dyDescent="0.3">
      <c r="B180" s="7" t="s">
        <v>11</v>
      </c>
      <c r="C180" s="7">
        <v>800</v>
      </c>
      <c r="D180" s="7">
        <v>400</v>
      </c>
    </row>
    <row r="181" spans="2:4" x14ac:dyDescent="0.3">
      <c r="B181" s="7" t="s">
        <v>12</v>
      </c>
      <c r="C181" s="7">
        <v>800</v>
      </c>
      <c r="D181" s="7">
        <v>340</v>
      </c>
    </row>
    <row r="182" spans="2:4" x14ac:dyDescent="0.3">
      <c r="B182" s="7" t="s">
        <v>13</v>
      </c>
      <c r="C182" s="7">
        <v>800</v>
      </c>
      <c r="D182" s="7">
        <v>300</v>
      </c>
    </row>
  </sheetData>
  <mergeCells count="24">
    <mergeCell ref="B111:C111"/>
    <mergeCell ref="D107:E107"/>
    <mergeCell ref="D108:E108"/>
    <mergeCell ref="D109:E109"/>
    <mergeCell ref="D110:E110"/>
    <mergeCell ref="D111:E111"/>
    <mergeCell ref="B110:C110"/>
    <mergeCell ref="B106:C106"/>
    <mergeCell ref="D106:E106"/>
    <mergeCell ref="B107:C107"/>
    <mergeCell ref="B108:C108"/>
    <mergeCell ref="B109:C109"/>
    <mergeCell ref="B20:C20"/>
    <mergeCell ref="D16:E16"/>
    <mergeCell ref="D17:E17"/>
    <mergeCell ref="D18:E18"/>
    <mergeCell ref="D19:E19"/>
    <mergeCell ref="D20:E20"/>
    <mergeCell ref="B19:C19"/>
    <mergeCell ref="B15:C15"/>
    <mergeCell ref="D15:E15"/>
    <mergeCell ref="B16:C16"/>
    <mergeCell ref="B17:C17"/>
    <mergeCell ref="B18:C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8F1F-2A24-4DDA-A924-815427100ADB}">
  <dimension ref="A2:F31"/>
  <sheetViews>
    <sheetView topLeftCell="A17" workbookViewId="0">
      <selection activeCell="A22" sqref="A22:B31"/>
    </sheetView>
  </sheetViews>
  <sheetFormatPr defaultRowHeight="14.4" x14ac:dyDescent="0.3"/>
  <cols>
    <col min="1" max="1" width="9.6640625" customWidth="1"/>
    <col min="2" max="2" width="17.33203125" customWidth="1"/>
    <col min="3" max="3" width="13.88671875" customWidth="1"/>
    <col min="4" max="4" width="15" customWidth="1"/>
    <col min="5" max="5" width="14.33203125" customWidth="1"/>
    <col min="6" max="6" width="12.44140625" customWidth="1"/>
  </cols>
  <sheetData>
    <row r="2" spans="1:6" s="26" customFormat="1" ht="25.8" x14ac:dyDescent="0.5">
      <c r="A2" s="25"/>
      <c r="B2" s="26" t="s">
        <v>197</v>
      </c>
    </row>
    <row r="3" spans="1:6" x14ac:dyDescent="0.3">
      <c r="C3" s="61"/>
      <c r="D3" s="61"/>
      <c r="E3" s="61"/>
      <c r="F3" s="61"/>
    </row>
    <row r="4" spans="1:6" x14ac:dyDescent="0.3">
      <c r="A4" s="3" t="s">
        <v>63</v>
      </c>
      <c r="B4" s="24" t="s">
        <v>64</v>
      </c>
      <c r="C4" s="27"/>
      <c r="D4" s="27"/>
      <c r="E4" s="27"/>
      <c r="F4" s="27"/>
    </row>
    <row r="5" spans="1:6" x14ac:dyDescent="0.3">
      <c r="C5" s="27"/>
      <c r="D5" s="27"/>
      <c r="E5" s="27"/>
      <c r="F5" s="27"/>
    </row>
    <row r="6" spans="1:6" x14ac:dyDescent="0.3">
      <c r="B6" s="29" t="s">
        <v>201</v>
      </c>
      <c r="C6" s="27"/>
      <c r="D6" s="27"/>
      <c r="E6" s="27"/>
      <c r="F6" s="27"/>
    </row>
    <row r="7" spans="1:6" x14ac:dyDescent="0.3">
      <c r="B7" s="29" t="s">
        <v>202</v>
      </c>
      <c r="C7" s="27"/>
      <c r="D7" s="27"/>
      <c r="E7" s="27"/>
      <c r="F7" s="27"/>
    </row>
    <row r="8" spans="1:6" x14ac:dyDescent="0.3">
      <c r="B8" s="29" t="s">
        <v>62</v>
      </c>
      <c r="C8" s="27"/>
      <c r="D8" s="27"/>
      <c r="E8" s="27"/>
      <c r="F8" s="27"/>
    </row>
    <row r="9" spans="1:6" x14ac:dyDescent="0.3">
      <c r="A9" s="3" t="s">
        <v>65</v>
      </c>
      <c r="B9" s="3" t="s">
        <v>69</v>
      </c>
      <c r="C9" s="27"/>
      <c r="D9" s="27"/>
      <c r="E9" s="27"/>
      <c r="F9" s="27"/>
    </row>
    <row r="10" spans="1:6" x14ac:dyDescent="0.3">
      <c r="C10" s="27"/>
      <c r="D10" s="27"/>
      <c r="E10" s="27"/>
      <c r="F10" s="27"/>
    </row>
    <row r="11" spans="1:6" x14ac:dyDescent="0.3">
      <c r="B11" t="s">
        <v>66</v>
      </c>
      <c r="C11" s="27"/>
      <c r="D11" s="27"/>
      <c r="E11" s="27"/>
      <c r="F11" s="27"/>
    </row>
    <row r="12" spans="1:6" x14ac:dyDescent="0.3">
      <c r="C12" s="27"/>
      <c r="D12" s="27"/>
      <c r="E12" s="27"/>
      <c r="F12" s="27"/>
    </row>
    <row r="13" spans="1:6" x14ac:dyDescent="0.3">
      <c r="B13" s="70" t="s">
        <v>61</v>
      </c>
      <c r="C13" s="70">
        <v>0.05</v>
      </c>
      <c r="D13" s="70">
        <v>0.1</v>
      </c>
      <c r="E13" s="70">
        <v>0.15</v>
      </c>
      <c r="F13" s="70">
        <v>0.2</v>
      </c>
    </row>
    <row r="14" spans="1:6" x14ac:dyDescent="0.3">
      <c r="A14" s="28"/>
      <c r="B14" s="70">
        <v>0.1</v>
      </c>
      <c r="C14" s="71">
        <v>6305137.5</v>
      </c>
      <c r="D14" s="71">
        <v>6305137.5</v>
      </c>
      <c r="E14" s="71">
        <v>6305137.5</v>
      </c>
      <c r="F14" s="71">
        <v>6305137.5</v>
      </c>
    </row>
    <row r="15" spans="1:6" x14ac:dyDescent="0.3">
      <c r="A15" s="28"/>
      <c r="B15" s="70">
        <v>0.15</v>
      </c>
      <c r="C15" s="71">
        <v>6603052.4500000002</v>
      </c>
      <c r="D15" s="71">
        <v>6603183.5</v>
      </c>
      <c r="E15" s="71">
        <v>6603183.5</v>
      </c>
      <c r="F15" s="71">
        <v>6603183.5</v>
      </c>
    </row>
    <row r="16" spans="1:6" x14ac:dyDescent="0.3">
      <c r="A16" s="28"/>
      <c r="B16" s="70">
        <v>0.2</v>
      </c>
      <c r="C16" s="71">
        <v>6836836.5</v>
      </c>
      <c r="D16" s="71">
        <v>6901186.7999999998</v>
      </c>
      <c r="E16" s="71">
        <v>6901229.5</v>
      </c>
      <c r="F16" s="71">
        <v>6901229.5</v>
      </c>
    </row>
    <row r="17" spans="1:6" x14ac:dyDescent="0.3">
      <c r="A17" s="28"/>
      <c r="B17" s="70">
        <v>0.25</v>
      </c>
      <c r="C17" s="71">
        <v>6929922.5</v>
      </c>
      <c r="D17" s="71">
        <v>7153602.5</v>
      </c>
      <c r="E17" s="71">
        <v>7199275.5</v>
      </c>
      <c r="F17" s="71">
        <v>7199275.5</v>
      </c>
    </row>
    <row r="18" spans="1:6" x14ac:dyDescent="0.3">
      <c r="A18" s="28"/>
      <c r="B18" s="70">
        <v>0.3</v>
      </c>
      <c r="C18" s="71">
        <v>7023008.5</v>
      </c>
      <c r="D18" s="71">
        <v>7246688.5</v>
      </c>
      <c r="E18" s="71">
        <v>7470368.5</v>
      </c>
      <c r="F18" s="71">
        <v>7497321.5</v>
      </c>
    </row>
    <row r="19" spans="1:6" x14ac:dyDescent="0.3">
      <c r="A19" s="27"/>
    </row>
    <row r="20" spans="1:6" x14ac:dyDescent="0.3">
      <c r="A20" s="3" t="s">
        <v>67</v>
      </c>
      <c r="B20" s="3" t="s">
        <v>68</v>
      </c>
    </row>
    <row r="22" spans="1:6" x14ac:dyDescent="0.3">
      <c r="A22">
        <v>1</v>
      </c>
      <c r="B22" s="3" t="s">
        <v>70</v>
      </c>
    </row>
    <row r="23" spans="1:6" x14ac:dyDescent="0.3">
      <c r="A23">
        <v>2</v>
      </c>
      <c r="B23" t="s">
        <v>71</v>
      </c>
    </row>
    <row r="24" spans="1:6" x14ac:dyDescent="0.3">
      <c r="B24" s="29" t="s">
        <v>72</v>
      </c>
    </row>
    <row r="25" spans="1:6" x14ac:dyDescent="0.3">
      <c r="B25" s="29" t="s">
        <v>73</v>
      </c>
    </row>
    <row r="26" spans="1:6" x14ac:dyDescent="0.3">
      <c r="A26">
        <v>3</v>
      </c>
      <c r="B26" t="s">
        <v>74</v>
      </c>
    </row>
    <row r="27" spans="1:6" x14ac:dyDescent="0.3">
      <c r="B27" s="29" t="s">
        <v>75</v>
      </c>
    </row>
    <row r="28" spans="1:6" x14ac:dyDescent="0.3">
      <c r="B28" s="29" t="s">
        <v>76</v>
      </c>
    </row>
    <row r="29" spans="1:6" x14ac:dyDescent="0.3">
      <c r="A29">
        <v>4</v>
      </c>
      <c r="B29" s="3" t="s">
        <v>77</v>
      </c>
    </row>
    <row r="30" spans="1:6" x14ac:dyDescent="0.3">
      <c r="A30">
        <v>5</v>
      </c>
      <c r="B30" s="3" t="s">
        <v>78</v>
      </c>
    </row>
    <row r="31" spans="1:6" x14ac:dyDescent="0.3">
      <c r="A31">
        <v>6</v>
      </c>
      <c r="B31" t="s">
        <v>79</v>
      </c>
    </row>
  </sheetData>
  <mergeCells count="1">
    <mergeCell ref="C3:F3"/>
  </mergeCells>
  <conditionalFormatting sqref="C14:F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09CB-36D3-4D99-845C-6B36E2B6ABF9}">
  <dimension ref="A2:W206"/>
  <sheetViews>
    <sheetView topLeftCell="F16" workbookViewId="0">
      <selection activeCell="Q34" sqref="Q34"/>
    </sheetView>
  </sheetViews>
  <sheetFormatPr defaultRowHeight="14.4" x14ac:dyDescent="0.3"/>
  <cols>
    <col min="3" max="3" width="14.109375" customWidth="1"/>
    <col min="4" max="4" width="17.109375" customWidth="1"/>
    <col min="5" max="5" width="24.88671875" customWidth="1"/>
    <col min="6" max="6" width="32.109375" customWidth="1"/>
    <col min="7" max="7" width="31.21875" customWidth="1"/>
    <col min="9" max="9" width="14.5546875" customWidth="1"/>
    <col min="10" max="10" width="15" customWidth="1"/>
    <col min="16" max="16" width="11.77734375" customWidth="1"/>
    <col min="17" max="17" width="11" customWidth="1"/>
    <col min="18" max="18" width="12" customWidth="1"/>
    <col min="22" max="23" width="14.77734375" customWidth="1"/>
  </cols>
  <sheetData>
    <row r="2" spans="1:13" s="26" customFormat="1" ht="25.8" x14ac:dyDescent="0.5">
      <c r="A2" s="25"/>
      <c r="B2" s="26" t="s">
        <v>275</v>
      </c>
    </row>
    <row r="5" spans="1:13" ht="15.6" x14ac:dyDescent="0.3">
      <c r="A5">
        <v>5.0999999999999996</v>
      </c>
      <c r="B5" s="34" t="s">
        <v>115</v>
      </c>
      <c r="C5" s="31"/>
    </row>
    <row r="7" spans="1:13" x14ac:dyDescent="0.3">
      <c r="B7" s="58" t="s">
        <v>14</v>
      </c>
      <c r="C7" s="58"/>
      <c r="D7" s="58" t="s">
        <v>15</v>
      </c>
      <c r="E7" s="58"/>
      <c r="F7" s="58"/>
      <c r="G7" s="58"/>
    </row>
    <row r="8" spans="1:13" ht="28.8" customHeight="1" x14ac:dyDescent="0.3">
      <c r="B8" s="51" t="s">
        <v>40</v>
      </c>
      <c r="C8" s="51"/>
      <c r="D8" s="51" t="s">
        <v>203</v>
      </c>
      <c r="E8" s="51"/>
      <c r="F8" s="51"/>
      <c r="G8" s="51"/>
    </row>
    <row r="9" spans="1:13" ht="14.4" customHeight="1" x14ac:dyDescent="0.3">
      <c r="B9" s="51" t="s">
        <v>250</v>
      </c>
      <c r="C9" s="51"/>
      <c r="D9" s="51" t="s">
        <v>251</v>
      </c>
      <c r="E9" s="51"/>
      <c r="F9" s="51"/>
      <c r="G9" s="51"/>
      <c r="L9" s="46"/>
      <c r="M9" s="46"/>
    </row>
    <row r="10" spans="1:13" ht="14.4" customHeight="1" x14ac:dyDescent="0.3">
      <c r="B10" s="51" t="s">
        <v>109</v>
      </c>
      <c r="C10" s="51"/>
      <c r="D10" s="51" t="s">
        <v>254</v>
      </c>
      <c r="E10" s="51"/>
      <c r="F10" s="51"/>
      <c r="G10" s="51"/>
      <c r="L10" s="24"/>
      <c r="M10" s="47"/>
    </row>
    <row r="11" spans="1:13" ht="14.4" customHeight="1" x14ac:dyDescent="0.3">
      <c r="B11" s="51" t="s">
        <v>83</v>
      </c>
      <c r="C11" s="51"/>
      <c r="D11" s="51" t="s">
        <v>255</v>
      </c>
      <c r="E11" s="51"/>
      <c r="F11" s="51"/>
      <c r="G11" s="51"/>
      <c r="L11" s="24"/>
      <c r="M11" s="32"/>
    </row>
    <row r="12" spans="1:13" ht="23.4" customHeight="1" x14ac:dyDescent="0.3">
      <c r="B12" s="51" t="s">
        <v>85</v>
      </c>
      <c r="C12" s="51"/>
      <c r="D12" s="51" t="s">
        <v>256</v>
      </c>
      <c r="E12" s="51"/>
      <c r="F12" s="51"/>
      <c r="G12" s="51"/>
      <c r="L12" s="24"/>
      <c r="M12" s="32"/>
    </row>
    <row r="13" spans="1:13" ht="31.2" customHeight="1" x14ac:dyDescent="0.3">
      <c r="B13" s="51" t="s">
        <v>87</v>
      </c>
      <c r="C13" s="51"/>
      <c r="D13" s="51" t="s">
        <v>252</v>
      </c>
      <c r="E13" s="51"/>
      <c r="F13" s="51"/>
      <c r="G13" s="51"/>
      <c r="L13" s="24"/>
      <c r="M13" s="32"/>
    </row>
    <row r="14" spans="1:13" ht="53.4" customHeight="1" x14ac:dyDescent="0.3">
      <c r="B14" s="51" t="s">
        <v>113</v>
      </c>
      <c r="C14" s="51"/>
      <c r="D14" s="51" t="s">
        <v>253</v>
      </c>
      <c r="E14" s="51"/>
      <c r="F14" s="51"/>
      <c r="G14" s="51"/>
      <c r="L14" s="24"/>
      <c r="M14" s="24"/>
    </row>
    <row r="15" spans="1:13" ht="15" customHeight="1" x14ac:dyDescent="0.3">
      <c r="B15" s="41"/>
      <c r="C15" s="41"/>
      <c r="D15" s="41"/>
      <c r="E15" s="41"/>
      <c r="F15" s="41"/>
      <c r="G15" s="41"/>
      <c r="L15" s="24"/>
      <c r="M15" s="24"/>
    </row>
    <row r="16" spans="1:13" ht="15" customHeight="1" x14ac:dyDescent="0.3">
      <c r="B16" s="41"/>
      <c r="C16" s="41"/>
      <c r="D16" s="41"/>
      <c r="E16" s="41"/>
      <c r="F16" s="41"/>
      <c r="G16" s="41"/>
      <c r="L16" s="24"/>
      <c r="M16" s="24"/>
    </row>
    <row r="17" spans="1:13" ht="15.6" x14ac:dyDescent="0.3">
      <c r="A17">
        <v>5.2</v>
      </c>
      <c r="B17" s="34" t="s">
        <v>257</v>
      </c>
      <c r="C17" s="31"/>
    </row>
    <row r="18" spans="1:13" x14ac:dyDescent="0.3">
      <c r="L18" s="24"/>
      <c r="M18" s="32"/>
    </row>
    <row r="19" spans="1:13" ht="28.8" x14ac:dyDescent="0.3">
      <c r="B19" s="4" t="s">
        <v>38</v>
      </c>
      <c r="C19" s="4" t="s">
        <v>117</v>
      </c>
      <c r="D19" s="4" t="s">
        <v>204</v>
      </c>
      <c r="E19" s="56" t="s">
        <v>205</v>
      </c>
      <c r="F19" s="56"/>
    </row>
    <row r="20" spans="1:13" x14ac:dyDescent="0.3">
      <c r="B20" s="7" t="s">
        <v>2</v>
      </c>
      <c r="C20" s="7">
        <v>600</v>
      </c>
      <c r="D20" s="7">
        <v>125</v>
      </c>
      <c r="E20" s="51" t="s">
        <v>206</v>
      </c>
      <c r="F20" s="51"/>
    </row>
    <row r="21" spans="1:13" x14ac:dyDescent="0.3">
      <c r="B21" s="7" t="s">
        <v>3</v>
      </c>
      <c r="C21" s="7">
        <v>600</v>
      </c>
      <c r="D21" s="7">
        <v>125</v>
      </c>
      <c r="E21" s="51" t="s">
        <v>206</v>
      </c>
      <c r="F21" s="51"/>
    </row>
    <row r="22" spans="1:13" x14ac:dyDescent="0.3">
      <c r="B22" s="7" t="s">
        <v>4</v>
      </c>
      <c r="C22" s="7">
        <v>600</v>
      </c>
      <c r="D22" s="7">
        <v>125</v>
      </c>
      <c r="E22" s="51" t="s">
        <v>206</v>
      </c>
      <c r="F22" s="51"/>
    </row>
    <row r="23" spans="1:13" x14ac:dyDescent="0.3">
      <c r="B23" s="7" t="s">
        <v>5</v>
      </c>
      <c r="C23" s="7">
        <v>600</v>
      </c>
      <c r="D23" s="7">
        <v>125</v>
      </c>
      <c r="E23" s="51" t="s">
        <v>206</v>
      </c>
      <c r="F23" s="51"/>
    </row>
    <row r="24" spans="1:13" ht="14.4" customHeight="1" x14ac:dyDescent="0.3">
      <c r="B24" s="48" t="s">
        <v>6</v>
      </c>
      <c r="C24" s="48">
        <v>180</v>
      </c>
      <c r="D24" s="7">
        <v>125</v>
      </c>
      <c r="E24" s="63" t="s">
        <v>208</v>
      </c>
      <c r="F24" s="64"/>
    </row>
    <row r="25" spans="1:13" x14ac:dyDescent="0.3">
      <c r="B25" s="48" t="s">
        <v>7</v>
      </c>
      <c r="C25" s="48">
        <v>180</v>
      </c>
      <c r="D25" s="7">
        <v>125</v>
      </c>
      <c r="E25" s="65"/>
      <c r="F25" s="66"/>
    </row>
    <row r="26" spans="1:13" x14ac:dyDescent="0.3">
      <c r="B26" s="48" t="s">
        <v>8</v>
      </c>
      <c r="C26" s="48">
        <v>180</v>
      </c>
      <c r="D26" s="7">
        <v>125</v>
      </c>
      <c r="E26" s="67"/>
      <c r="F26" s="68"/>
    </row>
    <row r="27" spans="1:13" x14ac:dyDescent="0.3">
      <c r="B27" s="7" t="s">
        <v>9</v>
      </c>
      <c r="C27" s="7">
        <v>600</v>
      </c>
      <c r="D27" s="7">
        <v>125</v>
      </c>
      <c r="E27" s="51" t="s">
        <v>211</v>
      </c>
      <c r="F27" s="51"/>
    </row>
    <row r="28" spans="1:13" x14ac:dyDescent="0.3">
      <c r="B28" s="7" t="s">
        <v>10</v>
      </c>
      <c r="C28" s="7">
        <v>595</v>
      </c>
      <c r="D28" s="7">
        <v>125</v>
      </c>
      <c r="E28" s="51" t="s">
        <v>212</v>
      </c>
      <c r="F28" s="51"/>
    </row>
    <row r="29" spans="1:13" x14ac:dyDescent="0.3">
      <c r="B29" s="7" t="s">
        <v>11</v>
      </c>
      <c r="C29" s="7">
        <v>475</v>
      </c>
      <c r="D29" s="7">
        <v>125</v>
      </c>
      <c r="E29" s="51" t="s">
        <v>213</v>
      </c>
      <c r="F29" s="51"/>
    </row>
    <row r="30" spans="1:13" x14ac:dyDescent="0.3">
      <c r="B30" s="7" t="s">
        <v>12</v>
      </c>
      <c r="C30" s="7">
        <v>445</v>
      </c>
      <c r="D30" s="7">
        <v>125</v>
      </c>
      <c r="E30" s="51" t="s">
        <v>214</v>
      </c>
      <c r="F30" s="51"/>
    </row>
    <row r="31" spans="1:13" x14ac:dyDescent="0.3">
      <c r="B31" s="7" t="s">
        <v>13</v>
      </c>
      <c r="C31" s="7">
        <v>425</v>
      </c>
      <c r="D31" s="7">
        <v>125</v>
      </c>
      <c r="E31" s="51" t="s">
        <v>215</v>
      </c>
      <c r="F31" s="51"/>
    </row>
    <row r="34" spans="1:6" ht="15.6" x14ac:dyDescent="0.3">
      <c r="A34">
        <v>5.3</v>
      </c>
      <c r="B34" s="34" t="s">
        <v>258</v>
      </c>
      <c r="C34" s="31"/>
    </row>
    <row r="36" spans="1:6" x14ac:dyDescent="0.3">
      <c r="B36" t="s">
        <v>261</v>
      </c>
      <c r="C36" s="24" t="s">
        <v>216</v>
      </c>
    </row>
    <row r="38" spans="1:6" x14ac:dyDescent="0.3">
      <c r="B38" s="4" t="s">
        <v>38</v>
      </c>
      <c r="C38" s="4" t="s">
        <v>119</v>
      </c>
      <c r="D38" s="4" t="s">
        <v>120</v>
      </c>
      <c r="E38" s="69" t="s">
        <v>205</v>
      </c>
      <c r="F38" s="69"/>
    </row>
    <row r="39" spans="1:6" x14ac:dyDescent="0.3">
      <c r="B39" s="7" t="s">
        <v>2</v>
      </c>
      <c r="C39" s="7">
        <v>300</v>
      </c>
      <c r="D39" s="7">
        <v>200</v>
      </c>
      <c r="E39" s="62" t="s">
        <v>206</v>
      </c>
      <c r="F39" s="62"/>
    </row>
    <row r="40" spans="1:6" x14ac:dyDescent="0.3">
      <c r="B40" s="7" t="s">
        <v>3</v>
      </c>
      <c r="C40" s="7">
        <v>70</v>
      </c>
      <c r="D40" s="7">
        <v>220</v>
      </c>
      <c r="E40" s="62" t="s">
        <v>217</v>
      </c>
      <c r="F40" s="62"/>
    </row>
    <row r="41" spans="1:6" x14ac:dyDescent="0.3">
      <c r="B41" s="7" t="s">
        <v>4</v>
      </c>
      <c r="C41" s="7">
        <v>185</v>
      </c>
      <c r="D41" s="7">
        <v>240</v>
      </c>
      <c r="E41" s="62" t="s">
        <v>206</v>
      </c>
      <c r="F41" s="62"/>
    </row>
    <row r="42" spans="1:6" x14ac:dyDescent="0.3">
      <c r="B42" s="7" t="s">
        <v>5</v>
      </c>
      <c r="C42" s="7">
        <v>205</v>
      </c>
      <c r="D42" s="7">
        <v>230</v>
      </c>
      <c r="E42" s="62" t="s">
        <v>206</v>
      </c>
      <c r="F42" s="62"/>
    </row>
    <row r="43" spans="1:6" x14ac:dyDescent="0.3">
      <c r="B43" s="5" t="s">
        <v>207</v>
      </c>
      <c r="C43" s="5">
        <v>215</v>
      </c>
      <c r="D43" s="5">
        <v>250</v>
      </c>
      <c r="E43" s="62" t="s">
        <v>218</v>
      </c>
      <c r="F43" s="62"/>
    </row>
    <row r="44" spans="1:6" x14ac:dyDescent="0.3">
      <c r="B44" s="5" t="s">
        <v>209</v>
      </c>
      <c r="C44" s="5">
        <v>225</v>
      </c>
      <c r="D44" s="5">
        <v>270</v>
      </c>
      <c r="E44" s="62" t="s">
        <v>219</v>
      </c>
      <c r="F44" s="62"/>
    </row>
    <row r="45" spans="1:6" x14ac:dyDescent="0.3">
      <c r="B45" s="5" t="s">
        <v>210</v>
      </c>
      <c r="C45" s="5">
        <v>70</v>
      </c>
      <c r="D45" s="5">
        <v>260</v>
      </c>
      <c r="E45" s="62" t="s">
        <v>220</v>
      </c>
      <c r="F45" s="62"/>
    </row>
    <row r="46" spans="1:6" x14ac:dyDescent="0.3">
      <c r="B46" s="7" t="s">
        <v>9</v>
      </c>
      <c r="C46" s="7">
        <v>320</v>
      </c>
      <c r="D46" s="7">
        <v>280</v>
      </c>
      <c r="E46" s="62" t="s">
        <v>221</v>
      </c>
      <c r="F46" s="62"/>
    </row>
    <row r="47" spans="1:6" x14ac:dyDescent="0.3">
      <c r="B47" s="7" t="s">
        <v>10</v>
      </c>
      <c r="C47" s="7">
        <v>320</v>
      </c>
      <c r="D47" s="7">
        <v>275</v>
      </c>
      <c r="E47" s="62" t="s">
        <v>222</v>
      </c>
      <c r="F47" s="62"/>
    </row>
    <row r="48" spans="1:6" x14ac:dyDescent="0.3">
      <c r="B48" s="7" t="s">
        <v>11</v>
      </c>
      <c r="C48" s="7">
        <v>215</v>
      </c>
      <c r="D48" s="7">
        <v>260</v>
      </c>
      <c r="E48" s="62" t="s">
        <v>223</v>
      </c>
      <c r="F48" s="62"/>
    </row>
    <row r="49" spans="2:6" x14ac:dyDescent="0.3">
      <c r="B49" s="7" t="s">
        <v>12</v>
      </c>
      <c r="C49" s="7">
        <v>205</v>
      </c>
      <c r="D49" s="7">
        <v>240</v>
      </c>
      <c r="E49" s="62" t="s">
        <v>215</v>
      </c>
      <c r="F49" s="62"/>
    </row>
    <row r="50" spans="2:6" x14ac:dyDescent="0.3">
      <c r="B50" s="7" t="s">
        <v>13</v>
      </c>
      <c r="C50" s="7">
        <v>195</v>
      </c>
      <c r="D50" s="7">
        <v>230</v>
      </c>
      <c r="E50" s="62" t="s">
        <v>222</v>
      </c>
      <c r="F50" s="62"/>
    </row>
    <row r="52" spans="2:6" x14ac:dyDescent="0.3">
      <c r="B52" s="19" t="s">
        <v>262</v>
      </c>
      <c r="C52" s="24" t="s">
        <v>224</v>
      </c>
    </row>
    <row r="54" spans="2:6" x14ac:dyDescent="0.3">
      <c r="B54" s="49" t="s">
        <v>38</v>
      </c>
      <c r="C54" s="4" t="s">
        <v>140</v>
      </c>
      <c r="D54" s="4" t="s">
        <v>141</v>
      </c>
    </row>
    <row r="55" spans="2:6" x14ac:dyDescent="0.3">
      <c r="B55" s="7" t="s">
        <v>2</v>
      </c>
      <c r="C55" s="38">
        <v>0</v>
      </c>
      <c r="D55" s="38">
        <v>0</v>
      </c>
    </row>
    <row r="56" spans="2:6" x14ac:dyDescent="0.3">
      <c r="B56" s="7" t="s">
        <v>3</v>
      </c>
      <c r="C56" s="38">
        <v>250</v>
      </c>
      <c r="D56" s="38">
        <v>0</v>
      </c>
    </row>
    <row r="57" spans="2:6" x14ac:dyDescent="0.3">
      <c r="B57" s="7" t="s">
        <v>4</v>
      </c>
      <c r="C57" s="38">
        <v>125</v>
      </c>
      <c r="D57" s="38">
        <v>0</v>
      </c>
    </row>
    <row r="58" spans="2:6" x14ac:dyDescent="0.3">
      <c r="B58" s="7" t="s">
        <v>5</v>
      </c>
      <c r="C58" s="38">
        <v>125</v>
      </c>
      <c r="D58" s="38">
        <v>0</v>
      </c>
    </row>
    <row r="59" spans="2:6" x14ac:dyDescent="0.3">
      <c r="B59" s="5" t="s">
        <v>207</v>
      </c>
      <c r="C59" s="38">
        <v>125</v>
      </c>
      <c r="D59" s="38">
        <v>0</v>
      </c>
    </row>
    <row r="60" spans="2:6" x14ac:dyDescent="0.3">
      <c r="B60" s="5" t="s">
        <v>209</v>
      </c>
      <c r="C60" s="38">
        <v>125</v>
      </c>
      <c r="D60" s="38">
        <v>0</v>
      </c>
    </row>
    <row r="61" spans="2:6" x14ac:dyDescent="0.3">
      <c r="B61" s="5" t="s">
        <v>210</v>
      </c>
      <c r="C61" s="38">
        <v>125</v>
      </c>
      <c r="D61" s="38">
        <v>0</v>
      </c>
    </row>
    <row r="62" spans="2:6" x14ac:dyDescent="0.3">
      <c r="B62" s="7" t="s">
        <v>9</v>
      </c>
      <c r="C62" s="38">
        <v>125</v>
      </c>
      <c r="D62" s="38">
        <v>0</v>
      </c>
    </row>
    <row r="63" spans="2:6" x14ac:dyDescent="0.3">
      <c r="B63" s="7" t="s">
        <v>10</v>
      </c>
      <c r="C63" s="38">
        <v>125</v>
      </c>
      <c r="D63" s="38">
        <v>0</v>
      </c>
    </row>
    <row r="64" spans="2:6" x14ac:dyDescent="0.3">
      <c r="B64" s="7" t="s">
        <v>11</v>
      </c>
      <c r="C64" s="38">
        <v>125</v>
      </c>
      <c r="D64" s="38">
        <v>0</v>
      </c>
    </row>
    <row r="65" spans="1:6" x14ac:dyDescent="0.3">
      <c r="B65" s="7" t="s">
        <v>12</v>
      </c>
      <c r="C65" s="38">
        <v>125</v>
      </c>
      <c r="D65" s="38">
        <v>0</v>
      </c>
    </row>
    <row r="66" spans="1:6" x14ac:dyDescent="0.3">
      <c r="B66" s="7" t="s">
        <v>13</v>
      </c>
      <c r="C66" s="38">
        <v>125</v>
      </c>
      <c r="D66" s="38">
        <v>0</v>
      </c>
    </row>
    <row r="67" spans="1:6" x14ac:dyDescent="0.3">
      <c r="B67" s="19"/>
      <c r="C67" s="19"/>
    </row>
    <row r="69" spans="1:6" x14ac:dyDescent="0.3">
      <c r="B69" s="29" t="s">
        <v>225</v>
      </c>
    </row>
    <row r="70" spans="1:6" x14ac:dyDescent="0.3">
      <c r="B70" s="29" t="s">
        <v>226</v>
      </c>
    </row>
    <row r="76" spans="1:6" ht="15.6" x14ac:dyDescent="0.3">
      <c r="A76">
        <v>5.4</v>
      </c>
      <c r="B76" s="34" t="s">
        <v>259</v>
      </c>
      <c r="C76" s="31"/>
    </row>
    <row r="79" spans="1:6" x14ac:dyDescent="0.3">
      <c r="B79" s="4" t="s">
        <v>38</v>
      </c>
      <c r="C79" s="4" t="s">
        <v>123</v>
      </c>
      <c r="D79" s="4" t="s">
        <v>227</v>
      </c>
      <c r="E79" s="58" t="s">
        <v>205</v>
      </c>
      <c r="F79" s="58"/>
    </row>
    <row r="80" spans="1:6" x14ac:dyDescent="0.3">
      <c r="B80" s="7" t="s">
        <v>2</v>
      </c>
      <c r="C80" s="7">
        <v>100</v>
      </c>
      <c r="D80" s="7">
        <v>125</v>
      </c>
      <c r="E80" s="51" t="s">
        <v>206</v>
      </c>
      <c r="F80" s="51"/>
    </row>
    <row r="81" spans="2:6" x14ac:dyDescent="0.3">
      <c r="B81" s="7" t="s">
        <v>3</v>
      </c>
      <c r="C81" s="7">
        <v>410</v>
      </c>
      <c r="D81" s="7">
        <v>0</v>
      </c>
      <c r="E81" s="51" t="s">
        <v>228</v>
      </c>
      <c r="F81" s="51"/>
    </row>
    <row r="82" spans="2:6" x14ac:dyDescent="0.3">
      <c r="B82" s="7" t="s">
        <v>4</v>
      </c>
      <c r="C82" s="7">
        <v>585</v>
      </c>
      <c r="D82" s="7">
        <v>0</v>
      </c>
      <c r="E82" s="51" t="s">
        <v>228</v>
      </c>
      <c r="F82" s="51"/>
    </row>
    <row r="83" spans="2:6" x14ac:dyDescent="0.3">
      <c r="B83" s="7" t="s">
        <v>5</v>
      </c>
      <c r="C83" s="7">
        <v>750</v>
      </c>
      <c r="D83" s="7">
        <v>0</v>
      </c>
      <c r="E83" s="51" t="s">
        <v>229</v>
      </c>
      <c r="F83" s="51"/>
    </row>
    <row r="84" spans="2:6" x14ac:dyDescent="0.3">
      <c r="B84" s="5" t="s">
        <v>207</v>
      </c>
      <c r="C84" s="5">
        <v>465</v>
      </c>
      <c r="D84" s="7">
        <v>0</v>
      </c>
      <c r="E84" s="51" t="s">
        <v>230</v>
      </c>
      <c r="F84" s="51"/>
    </row>
    <row r="85" spans="2:6" x14ac:dyDescent="0.3">
      <c r="B85" s="5" t="s">
        <v>209</v>
      </c>
      <c r="C85" s="5">
        <v>150</v>
      </c>
      <c r="D85" s="7">
        <v>0</v>
      </c>
      <c r="E85" s="51" t="s">
        <v>231</v>
      </c>
      <c r="F85" s="51"/>
    </row>
    <row r="86" spans="2:6" x14ac:dyDescent="0.3">
      <c r="B86" s="5" t="s">
        <v>210</v>
      </c>
      <c r="C86" s="7">
        <v>0</v>
      </c>
      <c r="D86" s="7">
        <v>0</v>
      </c>
      <c r="E86" s="51" t="s">
        <v>232</v>
      </c>
      <c r="F86" s="51"/>
    </row>
    <row r="87" spans="2:6" x14ac:dyDescent="0.3">
      <c r="B87" s="7" t="s">
        <v>9</v>
      </c>
      <c r="C87" s="7">
        <v>0</v>
      </c>
      <c r="D87" s="7">
        <v>0</v>
      </c>
      <c r="E87" s="51" t="s">
        <v>233</v>
      </c>
      <c r="F87" s="51"/>
    </row>
    <row r="88" spans="2:6" x14ac:dyDescent="0.3">
      <c r="B88" s="7" t="s">
        <v>10</v>
      </c>
      <c r="C88" s="7">
        <v>0</v>
      </c>
      <c r="D88" s="7">
        <v>0</v>
      </c>
      <c r="E88" s="51" t="s">
        <v>214</v>
      </c>
      <c r="F88" s="51"/>
    </row>
    <row r="89" spans="2:6" x14ac:dyDescent="0.3">
      <c r="B89" s="7" t="s">
        <v>11</v>
      </c>
      <c r="C89" s="7">
        <v>0</v>
      </c>
      <c r="D89" s="7">
        <v>0</v>
      </c>
      <c r="E89" s="51"/>
      <c r="F89" s="51"/>
    </row>
    <row r="90" spans="2:6" x14ac:dyDescent="0.3">
      <c r="B90" s="7" t="s">
        <v>12</v>
      </c>
      <c r="C90" s="7">
        <v>0</v>
      </c>
      <c r="D90" s="7">
        <v>0</v>
      </c>
      <c r="E90" s="51"/>
      <c r="F90" s="51"/>
    </row>
    <row r="91" spans="2:6" x14ac:dyDescent="0.3">
      <c r="B91" s="7" t="s">
        <v>13</v>
      </c>
      <c r="C91" s="7">
        <v>0</v>
      </c>
      <c r="D91" s="7">
        <v>0</v>
      </c>
      <c r="E91" s="51"/>
      <c r="F91" s="51"/>
    </row>
    <row r="93" spans="2:6" ht="18" x14ac:dyDescent="0.3">
      <c r="B93" s="37" t="s">
        <v>113</v>
      </c>
    </row>
    <row r="95" spans="2:6" x14ac:dyDescent="0.3">
      <c r="B95" t="s">
        <v>234</v>
      </c>
    </row>
    <row r="98" spans="1:5" ht="15.6" x14ac:dyDescent="0.3">
      <c r="A98">
        <v>5.5</v>
      </c>
      <c r="B98" s="34" t="s">
        <v>263</v>
      </c>
      <c r="C98" s="31"/>
    </row>
    <row r="100" spans="1:5" x14ac:dyDescent="0.3">
      <c r="B100" s="4" t="s">
        <v>38</v>
      </c>
      <c r="C100" s="4" t="s">
        <v>144</v>
      </c>
    </row>
    <row r="101" spans="1:5" x14ac:dyDescent="0.3">
      <c r="B101" s="7" t="s">
        <v>2</v>
      </c>
      <c r="C101" s="38">
        <v>0</v>
      </c>
      <c r="D101" s="43" t="s">
        <v>182</v>
      </c>
      <c r="E101" t="s">
        <v>271</v>
      </c>
    </row>
    <row r="102" spans="1:5" x14ac:dyDescent="0.3">
      <c r="B102" s="7" t="s">
        <v>3</v>
      </c>
      <c r="C102" s="38">
        <v>0</v>
      </c>
      <c r="D102" s="43" t="s">
        <v>183</v>
      </c>
      <c r="E102" t="s">
        <v>272</v>
      </c>
    </row>
    <row r="103" spans="1:5" x14ac:dyDescent="0.3">
      <c r="B103" s="7" t="s">
        <v>4</v>
      </c>
      <c r="C103" s="38">
        <v>0</v>
      </c>
      <c r="D103" s="43" t="s">
        <v>184</v>
      </c>
      <c r="E103" t="s">
        <v>273</v>
      </c>
    </row>
    <row r="104" spans="1:5" x14ac:dyDescent="0.3">
      <c r="B104" s="7" t="s">
        <v>5</v>
      </c>
      <c r="C104" s="38">
        <v>0</v>
      </c>
      <c r="D104" s="43" t="s">
        <v>185</v>
      </c>
      <c r="E104" t="s">
        <v>274</v>
      </c>
    </row>
    <row r="105" spans="1:5" x14ac:dyDescent="0.3">
      <c r="B105" s="7" t="s">
        <v>6</v>
      </c>
      <c r="C105" s="38">
        <v>0</v>
      </c>
    </row>
    <row r="106" spans="1:5" x14ac:dyDescent="0.3">
      <c r="B106" s="7" t="s">
        <v>7</v>
      </c>
      <c r="C106" s="38">
        <v>0</v>
      </c>
    </row>
    <row r="107" spans="1:5" x14ac:dyDescent="0.3">
      <c r="B107" s="7" t="s">
        <v>8</v>
      </c>
      <c r="C107" s="38">
        <v>165</v>
      </c>
    </row>
    <row r="108" spans="1:5" x14ac:dyDescent="0.3">
      <c r="B108" s="7" t="s">
        <v>9</v>
      </c>
      <c r="C108" s="38">
        <v>90</v>
      </c>
    </row>
    <row r="109" spans="1:5" x14ac:dyDescent="0.3">
      <c r="B109" s="7" t="s">
        <v>10</v>
      </c>
      <c r="C109" s="38">
        <v>0</v>
      </c>
    </row>
    <row r="110" spans="1:5" x14ac:dyDescent="0.3">
      <c r="B110" s="7" t="s">
        <v>11</v>
      </c>
      <c r="C110" s="38">
        <v>0</v>
      </c>
    </row>
    <row r="111" spans="1:5" x14ac:dyDescent="0.3">
      <c r="B111" s="7" t="s">
        <v>12</v>
      </c>
      <c r="C111" s="38">
        <v>0</v>
      </c>
    </row>
    <row r="112" spans="1:5" x14ac:dyDescent="0.3">
      <c r="B112" s="7" t="s">
        <v>13</v>
      </c>
      <c r="C112" s="38">
        <v>0</v>
      </c>
    </row>
    <row r="114" spans="1:23" ht="15.6" x14ac:dyDescent="0.3">
      <c r="A114">
        <v>5.6</v>
      </c>
      <c r="B114" s="34" t="s">
        <v>260</v>
      </c>
      <c r="C114" s="31"/>
    </row>
    <row r="116" spans="1:23" ht="23.4" x14ac:dyDescent="0.3">
      <c r="B116" s="33" t="s">
        <v>235</v>
      </c>
      <c r="H116" s="33" t="s">
        <v>238</v>
      </c>
      <c r="O116" s="33" t="s">
        <v>239</v>
      </c>
      <c r="U116" s="33" t="s">
        <v>241</v>
      </c>
    </row>
    <row r="117" spans="1:23" x14ac:dyDescent="0.3">
      <c r="O117" t="s">
        <v>240</v>
      </c>
    </row>
    <row r="118" spans="1:23" ht="28.8" x14ac:dyDescent="0.3">
      <c r="B118" s="4" t="s">
        <v>38</v>
      </c>
      <c r="C118" s="4" t="s">
        <v>117</v>
      </c>
      <c r="D118" s="4" t="s">
        <v>236</v>
      </c>
      <c r="H118" s="4" t="s">
        <v>38</v>
      </c>
      <c r="I118" s="4" t="s">
        <v>117</v>
      </c>
      <c r="J118" s="4" t="s">
        <v>128</v>
      </c>
      <c r="O118" s="4" t="s">
        <v>38</v>
      </c>
      <c r="P118" s="4" t="s">
        <v>117</v>
      </c>
      <c r="Q118" s="4" t="s">
        <v>131</v>
      </c>
      <c r="R118" s="4" t="s">
        <v>205</v>
      </c>
      <c r="U118" s="4" t="s">
        <v>38</v>
      </c>
      <c r="V118" s="4" t="s">
        <v>117</v>
      </c>
      <c r="W118" s="4" t="s">
        <v>133</v>
      </c>
    </row>
    <row r="119" spans="1:23" x14ac:dyDescent="0.3">
      <c r="B119" s="7" t="s">
        <v>2</v>
      </c>
      <c r="C119" s="7">
        <v>600</v>
      </c>
      <c r="D119" s="7">
        <v>600</v>
      </c>
      <c r="H119" s="7" t="s">
        <v>2</v>
      </c>
      <c r="I119" s="7">
        <v>600</v>
      </c>
      <c r="J119" s="7">
        <v>600</v>
      </c>
      <c r="O119" s="7" t="s">
        <v>2</v>
      </c>
      <c r="P119" s="7">
        <v>600</v>
      </c>
      <c r="Q119" s="7">
        <v>1200</v>
      </c>
      <c r="R119" s="7" t="s">
        <v>206</v>
      </c>
      <c r="U119" s="7" t="s">
        <v>2</v>
      </c>
      <c r="V119" s="7">
        <v>600</v>
      </c>
      <c r="W119" s="7">
        <v>600</v>
      </c>
    </row>
    <row r="120" spans="1:23" x14ac:dyDescent="0.3">
      <c r="B120" s="7" t="s">
        <v>3</v>
      </c>
      <c r="C120" s="7">
        <v>600</v>
      </c>
      <c r="D120" s="7">
        <v>600</v>
      </c>
      <c r="H120" s="7" t="s">
        <v>3</v>
      </c>
      <c r="I120" s="7">
        <v>600</v>
      </c>
      <c r="J120" s="7">
        <v>600</v>
      </c>
      <c r="O120" s="7" t="s">
        <v>3</v>
      </c>
      <c r="P120" s="7">
        <v>600</v>
      </c>
      <c r="Q120" s="7">
        <v>1200</v>
      </c>
      <c r="R120" s="7" t="s">
        <v>206</v>
      </c>
      <c r="U120" s="7" t="s">
        <v>3</v>
      </c>
      <c r="V120" s="7">
        <v>600</v>
      </c>
      <c r="W120" s="7">
        <v>600</v>
      </c>
    </row>
    <row r="121" spans="1:23" x14ac:dyDescent="0.3">
      <c r="B121" s="7" t="s">
        <v>4</v>
      </c>
      <c r="C121" s="7">
        <v>600</v>
      </c>
      <c r="D121" s="7">
        <v>600</v>
      </c>
      <c r="H121" s="7" t="s">
        <v>4</v>
      </c>
      <c r="I121" s="7">
        <v>600</v>
      </c>
      <c r="J121" s="7">
        <v>600</v>
      </c>
      <c r="O121" s="7" t="s">
        <v>4</v>
      </c>
      <c r="P121" s="7">
        <v>600</v>
      </c>
      <c r="Q121" s="7">
        <v>1200</v>
      </c>
      <c r="R121" s="7" t="s">
        <v>206</v>
      </c>
      <c r="U121" s="7" t="s">
        <v>4</v>
      </c>
      <c r="V121" s="7">
        <v>600</v>
      </c>
      <c r="W121" s="7">
        <v>600</v>
      </c>
    </row>
    <row r="122" spans="1:23" x14ac:dyDescent="0.3">
      <c r="B122" s="7" t="s">
        <v>5</v>
      </c>
      <c r="C122" s="7">
        <v>600</v>
      </c>
      <c r="D122" s="7">
        <v>600</v>
      </c>
      <c r="H122" s="7" t="s">
        <v>5</v>
      </c>
      <c r="I122" s="7">
        <v>600</v>
      </c>
      <c r="J122" s="7">
        <v>600</v>
      </c>
      <c r="O122" s="7" t="s">
        <v>5</v>
      </c>
      <c r="P122" s="7">
        <v>600</v>
      </c>
      <c r="Q122" s="7">
        <v>1200</v>
      </c>
      <c r="R122" s="7" t="s">
        <v>206</v>
      </c>
      <c r="U122" s="7" t="s">
        <v>5</v>
      </c>
      <c r="V122" s="7">
        <v>600</v>
      </c>
      <c r="W122" s="7">
        <v>600</v>
      </c>
    </row>
    <row r="123" spans="1:23" ht="57.6" x14ac:dyDescent="0.3">
      <c r="B123" s="5" t="s">
        <v>6</v>
      </c>
      <c r="C123" s="5">
        <v>180</v>
      </c>
      <c r="D123" s="5" t="s">
        <v>237</v>
      </c>
      <c r="H123" s="5" t="s">
        <v>6</v>
      </c>
      <c r="I123" s="5">
        <v>180</v>
      </c>
      <c r="J123" s="5">
        <v>180</v>
      </c>
      <c r="O123" s="5" t="s">
        <v>6</v>
      </c>
      <c r="P123" s="5">
        <v>180</v>
      </c>
      <c r="Q123" s="5">
        <v>360</v>
      </c>
      <c r="R123" s="7" t="s">
        <v>264</v>
      </c>
      <c r="U123" s="5" t="s">
        <v>6</v>
      </c>
      <c r="V123" s="5">
        <v>180</v>
      </c>
      <c r="W123" s="5">
        <v>180</v>
      </c>
    </row>
    <row r="124" spans="1:23" x14ac:dyDescent="0.3">
      <c r="B124" s="5" t="s">
        <v>7</v>
      </c>
      <c r="C124" s="5">
        <v>180</v>
      </c>
      <c r="D124" s="5">
        <v>180</v>
      </c>
      <c r="H124" s="7" t="s">
        <v>7</v>
      </c>
      <c r="I124" s="7">
        <v>180</v>
      </c>
      <c r="J124" s="7">
        <v>180</v>
      </c>
      <c r="O124" s="5" t="s">
        <v>7</v>
      </c>
      <c r="P124" s="5">
        <v>180</v>
      </c>
      <c r="Q124" s="5">
        <v>360</v>
      </c>
      <c r="R124" s="7"/>
      <c r="U124" s="7" t="s">
        <v>7</v>
      </c>
      <c r="V124" s="7">
        <v>180</v>
      </c>
      <c r="W124" s="7">
        <v>180</v>
      </c>
    </row>
    <row r="125" spans="1:23" x14ac:dyDescent="0.3">
      <c r="B125" s="5" t="s">
        <v>8</v>
      </c>
      <c r="C125" s="5">
        <v>180</v>
      </c>
      <c r="D125" s="5">
        <v>180</v>
      </c>
      <c r="H125" s="7" t="s">
        <v>8</v>
      </c>
      <c r="I125" s="7">
        <v>180</v>
      </c>
      <c r="J125" s="7">
        <v>180</v>
      </c>
      <c r="O125" s="5" t="s">
        <v>8</v>
      </c>
      <c r="P125" s="5">
        <v>180</v>
      </c>
      <c r="Q125" s="5">
        <v>360</v>
      </c>
      <c r="R125" s="7"/>
      <c r="U125" s="7" t="s">
        <v>8</v>
      </c>
      <c r="V125" s="7">
        <v>180</v>
      </c>
      <c r="W125" s="7">
        <v>180</v>
      </c>
    </row>
    <row r="126" spans="1:23" x14ac:dyDescent="0.3">
      <c r="B126" s="7" t="s">
        <v>9</v>
      </c>
      <c r="C126" s="7">
        <v>600</v>
      </c>
      <c r="D126" s="7">
        <v>600</v>
      </c>
      <c r="H126" s="7" t="s">
        <v>9</v>
      </c>
      <c r="I126" s="7">
        <v>600</v>
      </c>
      <c r="J126" s="7">
        <v>600</v>
      </c>
      <c r="O126" s="7" t="s">
        <v>9</v>
      </c>
      <c r="P126" s="7">
        <v>600</v>
      </c>
      <c r="Q126" s="7">
        <v>1200</v>
      </c>
      <c r="R126" s="7"/>
      <c r="U126" s="7" t="s">
        <v>9</v>
      </c>
      <c r="V126" s="7">
        <v>600</v>
      </c>
      <c r="W126" s="7">
        <v>600</v>
      </c>
    </row>
    <row r="127" spans="1:23" x14ac:dyDescent="0.3">
      <c r="B127" s="7" t="s">
        <v>10</v>
      </c>
      <c r="C127" s="7">
        <v>595</v>
      </c>
      <c r="D127" s="7">
        <v>595</v>
      </c>
      <c r="H127" s="7" t="s">
        <v>10</v>
      </c>
      <c r="I127" s="7">
        <v>595</v>
      </c>
      <c r="J127" s="7">
        <v>595</v>
      </c>
      <c r="O127" s="7" t="s">
        <v>10</v>
      </c>
      <c r="P127" s="7">
        <v>595</v>
      </c>
      <c r="Q127" s="7">
        <v>1190</v>
      </c>
      <c r="R127" s="7"/>
      <c r="U127" s="7" t="s">
        <v>10</v>
      </c>
      <c r="V127" s="7">
        <v>595</v>
      </c>
      <c r="W127" s="7">
        <v>595</v>
      </c>
    </row>
    <row r="128" spans="1:23" x14ac:dyDescent="0.3">
      <c r="B128" s="7" t="s">
        <v>11</v>
      </c>
      <c r="C128" s="7">
        <v>475</v>
      </c>
      <c r="D128" s="7">
        <v>475</v>
      </c>
      <c r="H128" s="7" t="s">
        <v>11</v>
      </c>
      <c r="I128" s="7">
        <v>475</v>
      </c>
      <c r="J128" s="7">
        <v>475</v>
      </c>
      <c r="O128" s="7" t="s">
        <v>11</v>
      </c>
      <c r="P128" s="7">
        <v>475</v>
      </c>
      <c r="Q128" s="7">
        <v>950</v>
      </c>
      <c r="R128" s="7"/>
      <c r="U128" s="7" t="s">
        <v>11</v>
      </c>
      <c r="V128" s="7">
        <v>475</v>
      </c>
      <c r="W128" s="7">
        <v>475</v>
      </c>
    </row>
    <row r="129" spans="2:23" x14ac:dyDescent="0.3">
      <c r="B129" s="7" t="s">
        <v>12</v>
      </c>
      <c r="C129" s="7">
        <v>445</v>
      </c>
      <c r="D129" s="7">
        <v>445</v>
      </c>
      <c r="H129" s="7" t="s">
        <v>12</v>
      </c>
      <c r="I129" s="7">
        <v>445</v>
      </c>
      <c r="J129" s="7">
        <v>445</v>
      </c>
      <c r="O129" s="7" t="s">
        <v>12</v>
      </c>
      <c r="P129" s="7">
        <v>445</v>
      </c>
      <c r="Q129" s="7">
        <v>890</v>
      </c>
      <c r="R129" s="7"/>
      <c r="U129" s="7" t="s">
        <v>12</v>
      </c>
      <c r="V129" s="7">
        <v>445</v>
      </c>
      <c r="W129" s="7">
        <v>445</v>
      </c>
    </row>
    <row r="130" spans="2:23" x14ac:dyDescent="0.3">
      <c r="B130" s="7" t="s">
        <v>13</v>
      </c>
      <c r="C130" s="7">
        <v>425</v>
      </c>
      <c r="D130" s="7">
        <v>425</v>
      </c>
      <c r="H130" s="7" t="s">
        <v>13</v>
      </c>
      <c r="I130" s="7">
        <v>425</v>
      </c>
      <c r="J130" s="7">
        <v>425</v>
      </c>
      <c r="O130" s="7" t="s">
        <v>13</v>
      </c>
      <c r="P130" s="7">
        <v>425</v>
      </c>
      <c r="Q130" s="7">
        <v>850</v>
      </c>
      <c r="R130" s="7"/>
      <c r="U130" s="7" t="s">
        <v>13</v>
      </c>
      <c r="V130" s="7">
        <v>425</v>
      </c>
      <c r="W130" s="7">
        <v>425</v>
      </c>
    </row>
    <row r="133" spans="2:23" x14ac:dyDescent="0.3">
      <c r="B133" s="3" t="s">
        <v>153</v>
      </c>
    </row>
    <row r="134" spans="2:23" x14ac:dyDescent="0.3">
      <c r="B134" s="38" t="s">
        <v>269</v>
      </c>
      <c r="C134" s="38" t="s">
        <v>265</v>
      </c>
      <c r="D134" s="38" t="s">
        <v>266</v>
      </c>
      <c r="E134" s="38" t="s">
        <v>267</v>
      </c>
      <c r="F134" s="38" t="s">
        <v>268</v>
      </c>
    </row>
    <row r="135" spans="2:23" x14ac:dyDescent="0.3">
      <c r="B135" s="7" t="s">
        <v>2</v>
      </c>
      <c r="C135" s="38">
        <v>300</v>
      </c>
      <c r="D135" s="38">
        <v>25</v>
      </c>
      <c r="E135" s="38">
        <v>300</v>
      </c>
      <c r="F135" s="38">
        <v>100</v>
      </c>
      <c r="G135">
        <f>SUM(C135,E135)</f>
        <v>600</v>
      </c>
    </row>
    <row r="136" spans="2:23" x14ac:dyDescent="0.3">
      <c r="B136" s="7" t="s">
        <v>3</v>
      </c>
      <c r="C136" s="38">
        <v>300</v>
      </c>
      <c r="D136" s="38">
        <v>25</v>
      </c>
      <c r="E136" s="38">
        <v>300</v>
      </c>
      <c r="F136" s="38">
        <v>100</v>
      </c>
      <c r="G136">
        <f t="shared" ref="G136:G146" si="0">SUM(C136,E136)</f>
        <v>600</v>
      </c>
    </row>
    <row r="137" spans="2:23" x14ac:dyDescent="0.3">
      <c r="B137" s="7" t="s">
        <v>4</v>
      </c>
      <c r="C137" s="38">
        <v>300</v>
      </c>
      <c r="D137" s="38">
        <v>25</v>
      </c>
      <c r="E137" s="38">
        <v>300</v>
      </c>
      <c r="F137" s="38">
        <v>100</v>
      </c>
      <c r="G137">
        <f t="shared" si="0"/>
        <v>600</v>
      </c>
    </row>
    <row r="138" spans="2:23" x14ac:dyDescent="0.3">
      <c r="B138" s="7" t="s">
        <v>5</v>
      </c>
      <c r="C138" s="38">
        <v>300</v>
      </c>
      <c r="D138" s="38">
        <v>25</v>
      </c>
      <c r="E138" s="38">
        <v>300</v>
      </c>
      <c r="F138" s="38">
        <v>100</v>
      </c>
      <c r="G138">
        <f t="shared" si="0"/>
        <v>600</v>
      </c>
    </row>
    <row r="139" spans="2:23" x14ac:dyDescent="0.3">
      <c r="B139" s="7" t="s">
        <v>6</v>
      </c>
      <c r="C139" s="50">
        <v>180</v>
      </c>
      <c r="D139" s="38">
        <v>25</v>
      </c>
      <c r="E139" s="50">
        <v>0</v>
      </c>
      <c r="F139" s="38">
        <v>100</v>
      </c>
      <c r="G139">
        <f t="shared" si="0"/>
        <v>180</v>
      </c>
    </row>
    <row r="140" spans="2:23" x14ac:dyDescent="0.3">
      <c r="B140" s="7" t="s">
        <v>7</v>
      </c>
      <c r="C140" s="50">
        <v>180</v>
      </c>
      <c r="D140" s="38">
        <v>25</v>
      </c>
      <c r="E140" s="50">
        <v>0</v>
      </c>
      <c r="F140" s="38">
        <v>100</v>
      </c>
      <c r="G140">
        <f t="shared" si="0"/>
        <v>180</v>
      </c>
    </row>
    <row r="141" spans="2:23" x14ac:dyDescent="0.3">
      <c r="B141" s="7" t="s">
        <v>8</v>
      </c>
      <c r="C141" s="50">
        <v>180</v>
      </c>
      <c r="D141" s="38">
        <v>25</v>
      </c>
      <c r="E141" s="50">
        <v>0</v>
      </c>
      <c r="F141" s="38">
        <v>100</v>
      </c>
      <c r="G141">
        <f t="shared" si="0"/>
        <v>180</v>
      </c>
    </row>
    <row r="142" spans="2:23" x14ac:dyDescent="0.3">
      <c r="B142" s="7" t="s">
        <v>9</v>
      </c>
      <c r="C142" s="38">
        <v>300</v>
      </c>
      <c r="D142" s="38">
        <v>25</v>
      </c>
      <c r="E142" s="38">
        <v>300</v>
      </c>
      <c r="F142" s="38">
        <v>100</v>
      </c>
      <c r="G142">
        <f t="shared" si="0"/>
        <v>600</v>
      </c>
    </row>
    <row r="143" spans="2:23" x14ac:dyDescent="0.3">
      <c r="B143" s="7" t="s">
        <v>10</v>
      </c>
      <c r="C143" s="38">
        <v>300</v>
      </c>
      <c r="D143" s="38">
        <v>25</v>
      </c>
      <c r="E143" s="38">
        <v>295</v>
      </c>
      <c r="F143" s="38">
        <v>100</v>
      </c>
      <c r="G143">
        <f t="shared" si="0"/>
        <v>595</v>
      </c>
    </row>
    <row r="144" spans="2:23" x14ac:dyDescent="0.3">
      <c r="B144" s="7" t="s">
        <v>11</v>
      </c>
      <c r="C144" s="38">
        <v>300</v>
      </c>
      <c r="D144" s="38">
        <v>25</v>
      </c>
      <c r="E144" s="38">
        <v>175</v>
      </c>
      <c r="F144" s="38">
        <v>100</v>
      </c>
      <c r="G144">
        <f t="shared" si="0"/>
        <v>475</v>
      </c>
    </row>
    <row r="145" spans="2:13" x14ac:dyDescent="0.3">
      <c r="B145" s="7" t="s">
        <v>12</v>
      </c>
      <c r="C145" s="38">
        <v>300</v>
      </c>
      <c r="D145" s="38">
        <v>25</v>
      </c>
      <c r="E145" s="38">
        <v>145</v>
      </c>
      <c r="F145" s="38">
        <v>100</v>
      </c>
      <c r="G145">
        <f t="shared" si="0"/>
        <v>445</v>
      </c>
    </row>
    <row r="146" spans="2:13" x14ac:dyDescent="0.3">
      <c r="B146" s="7" t="s">
        <v>13</v>
      </c>
      <c r="C146" s="38">
        <v>300</v>
      </c>
      <c r="D146" s="38">
        <v>25</v>
      </c>
      <c r="E146" s="38">
        <v>125</v>
      </c>
      <c r="F146" s="38">
        <v>100</v>
      </c>
      <c r="G146">
        <f t="shared" si="0"/>
        <v>425</v>
      </c>
    </row>
    <row r="149" spans="2:13" x14ac:dyDescent="0.3">
      <c r="B149" s="30" t="s">
        <v>163</v>
      </c>
      <c r="G149" s="3" t="s">
        <v>154</v>
      </c>
      <c r="L149" s="3" t="s">
        <v>270</v>
      </c>
    </row>
    <row r="150" spans="2:13" x14ac:dyDescent="0.3">
      <c r="B150" s="38" t="s">
        <v>265</v>
      </c>
      <c r="C150" s="38" t="s">
        <v>266</v>
      </c>
      <c r="D150" s="38" t="s">
        <v>267</v>
      </c>
      <c r="F150" s="38" t="s">
        <v>265</v>
      </c>
      <c r="G150" s="38" t="s">
        <v>266</v>
      </c>
      <c r="H150" s="38" t="s">
        <v>267</v>
      </c>
      <c r="I150" s="38" t="s">
        <v>268</v>
      </c>
      <c r="L150" s="38" t="s">
        <v>265</v>
      </c>
      <c r="M150" s="38" t="s">
        <v>268</v>
      </c>
    </row>
    <row r="151" spans="2:13" x14ac:dyDescent="0.3">
      <c r="B151" s="38">
        <v>200</v>
      </c>
      <c r="C151" s="38">
        <v>125</v>
      </c>
      <c r="D151" s="38">
        <v>400</v>
      </c>
      <c r="F151" s="38">
        <v>600</v>
      </c>
      <c r="G151" s="38">
        <v>150</v>
      </c>
      <c r="H151" s="38">
        <v>600</v>
      </c>
      <c r="I151" s="38">
        <v>100</v>
      </c>
      <c r="L151" s="38">
        <v>600</v>
      </c>
      <c r="M151" s="38">
        <v>125</v>
      </c>
    </row>
    <row r="152" spans="2:13" x14ac:dyDescent="0.3">
      <c r="B152" s="38">
        <v>200</v>
      </c>
      <c r="C152" s="38">
        <v>125</v>
      </c>
      <c r="D152" s="38">
        <v>400</v>
      </c>
      <c r="F152" s="38">
        <v>600</v>
      </c>
      <c r="G152" s="38">
        <v>150</v>
      </c>
      <c r="H152" s="38">
        <v>600</v>
      </c>
      <c r="I152" s="38">
        <v>100</v>
      </c>
      <c r="L152" s="38">
        <v>600</v>
      </c>
      <c r="M152" s="38">
        <v>125</v>
      </c>
    </row>
    <row r="153" spans="2:13" x14ac:dyDescent="0.3">
      <c r="B153" s="38">
        <v>200</v>
      </c>
      <c r="C153" s="38">
        <v>125</v>
      </c>
      <c r="D153" s="38">
        <v>400</v>
      </c>
      <c r="F153" s="38">
        <v>600</v>
      </c>
      <c r="G153" s="38">
        <v>150</v>
      </c>
      <c r="H153" s="38">
        <v>600</v>
      </c>
      <c r="I153" s="38">
        <v>100</v>
      </c>
      <c r="L153" s="38">
        <v>600</v>
      </c>
      <c r="M153" s="38">
        <v>125</v>
      </c>
    </row>
    <row r="154" spans="2:13" x14ac:dyDescent="0.3">
      <c r="B154" s="38">
        <v>200</v>
      </c>
      <c r="C154" s="38">
        <v>125</v>
      </c>
      <c r="D154" s="38">
        <v>400</v>
      </c>
      <c r="F154" s="38">
        <v>600</v>
      </c>
      <c r="G154" s="38">
        <v>150</v>
      </c>
      <c r="H154" s="38">
        <v>600</v>
      </c>
      <c r="I154" s="38">
        <v>100</v>
      </c>
      <c r="L154" s="38">
        <v>600</v>
      </c>
      <c r="M154" s="38">
        <v>125</v>
      </c>
    </row>
    <row r="155" spans="2:13" x14ac:dyDescent="0.3">
      <c r="B155" s="38">
        <v>0</v>
      </c>
      <c r="C155" s="38">
        <v>125</v>
      </c>
      <c r="D155" s="38">
        <v>180</v>
      </c>
      <c r="F155" s="38">
        <v>180</v>
      </c>
      <c r="G155" s="38">
        <v>150</v>
      </c>
      <c r="H155" s="38">
        <v>180</v>
      </c>
      <c r="I155" s="38">
        <v>100</v>
      </c>
      <c r="L155" s="38">
        <v>180</v>
      </c>
      <c r="M155" s="38">
        <v>125</v>
      </c>
    </row>
    <row r="156" spans="2:13" x14ac:dyDescent="0.3">
      <c r="B156" s="38">
        <v>0</v>
      </c>
      <c r="C156" s="38">
        <v>125</v>
      </c>
      <c r="D156" s="38">
        <v>180</v>
      </c>
      <c r="F156" s="38">
        <v>180</v>
      </c>
      <c r="G156" s="38">
        <v>150</v>
      </c>
      <c r="H156" s="38">
        <v>180</v>
      </c>
      <c r="I156" s="38">
        <v>100</v>
      </c>
      <c r="L156" s="38">
        <v>180</v>
      </c>
      <c r="M156" s="38">
        <v>125</v>
      </c>
    </row>
    <row r="157" spans="2:13" x14ac:dyDescent="0.3">
      <c r="B157" s="38">
        <v>0</v>
      </c>
      <c r="C157" s="38">
        <v>125</v>
      </c>
      <c r="D157" s="38">
        <v>180</v>
      </c>
      <c r="F157" s="38">
        <v>180</v>
      </c>
      <c r="G157" s="38">
        <v>150</v>
      </c>
      <c r="H157" s="38">
        <v>180</v>
      </c>
      <c r="I157" s="38">
        <v>100</v>
      </c>
      <c r="L157" s="38">
        <v>180</v>
      </c>
      <c r="M157" s="38">
        <v>125</v>
      </c>
    </row>
    <row r="158" spans="2:13" x14ac:dyDescent="0.3">
      <c r="B158" s="38">
        <v>200</v>
      </c>
      <c r="C158" s="38">
        <v>125</v>
      </c>
      <c r="D158" s="38">
        <v>400</v>
      </c>
      <c r="F158" s="38">
        <v>600</v>
      </c>
      <c r="G158" s="38">
        <v>150</v>
      </c>
      <c r="H158" s="38">
        <v>600</v>
      </c>
      <c r="I158" s="38">
        <v>100</v>
      </c>
      <c r="L158" s="38">
        <v>600</v>
      </c>
      <c r="M158" s="38">
        <v>125</v>
      </c>
    </row>
    <row r="159" spans="2:13" x14ac:dyDescent="0.3">
      <c r="B159" s="38">
        <v>195</v>
      </c>
      <c r="C159" s="38">
        <v>125</v>
      </c>
      <c r="D159" s="38">
        <v>400</v>
      </c>
      <c r="F159" s="38">
        <v>590</v>
      </c>
      <c r="G159" s="38">
        <v>150</v>
      </c>
      <c r="H159" s="38">
        <v>600</v>
      </c>
      <c r="I159" s="38">
        <v>100</v>
      </c>
      <c r="L159" s="38">
        <v>595</v>
      </c>
      <c r="M159" s="38">
        <v>125</v>
      </c>
    </row>
    <row r="160" spans="2:13" x14ac:dyDescent="0.3">
      <c r="B160" s="38">
        <v>75</v>
      </c>
      <c r="C160" s="38">
        <v>125</v>
      </c>
      <c r="D160" s="38">
        <v>400</v>
      </c>
      <c r="F160" s="38">
        <v>350</v>
      </c>
      <c r="G160" s="38">
        <v>150</v>
      </c>
      <c r="H160" s="38">
        <v>600</v>
      </c>
      <c r="I160" s="38">
        <v>100</v>
      </c>
      <c r="L160" s="38">
        <v>475</v>
      </c>
      <c r="M160" s="38">
        <v>125</v>
      </c>
    </row>
    <row r="161" spans="2:13" x14ac:dyDescent="0.3">
      <c r="B161" s="38">
        <v>45</v>
      </c>
      <c r="C161" s="38">
        <v>125</v>
      </c>
      <c r="D161" s="38">
        <v>400</v>
      </c>
      <c r="F161" s="38">
        <v>290</v>
      </c>
      <c r="G161" s="38">
        <v>150</v>
      </c>
      <c r="H161" s="38">
        <v>600</v>
      </c>
      <c r="I161" s="38">
        <v>100</v>
      </c>
      <c r="L161" s="38">
        <v>445</v>
      </c>
      <c r="M161" s="38">
        <v>125</v>
      </c>
    </row>
    <row r="162" spans="2:13" x14ac:dyDescent="0.3">
      <c r="B162" s="38">
        <v>25</v>
      </c>
      <c r="C162" s="38">
        <v>125</v>
      </c>
      <c r="D162" s="38">
        <v>400</v>
      </c>
      <c r="F162" s="38">
        <v>250</v>
      </c>
      <c r="G162" s="38">
        <v>150</v>
      </c>
      <c r="H162" s="38">
        <v>600</v>
      </c>
      <c r="I162" s="38">
        <v>100</v>
      </c>
      <c r="L162" s="38">
        <v>425</v>
      </c>
      <c r="M162" s="38">
        <v>125</v>
      </c>
    </row>
    <row r="173" spans="2:13" ht="18" x14ac:dyDescent="0.35">
      <c r="E173" s="39"/>
    </row>
    <row r="175" spans="2:13" s="39" customFormat="1" ht="18" x14ac:dyDescent="0.35">
      <c r="B175" s="45" t="s">
        <v>242</v>
      </c>
      <c r="E175"/>
    </row>
    <row r="176" spans="2:13" x14ac:dyDescent="0.3">
      <c r="B176" s="29"/>
    </row>
    <row r="177" spans="2:2" x14ac:dyDescent="0.3">
      <c r="B177" s="44" t="s">
        <v>243</v>
      </c>
    </row>
    <row r="178" spans="2:2" x14ac:dyDescent="0.3">
      <c r="B178" s="29"/>
    </row>
    <row r="179" spans="2:2" x14ac:dyDescent="0.3">
      <c r="B179" s="44" t="s">
        <v>244</v>
      </c>
    </row>
    <row r="180" spans="2:2" x14ac:dyDescent="0.3">
      <c r="B180" s="29"/>
    </row>
    <row r="181" spans="2:2" x14ac:dyDescent="0.3">
      <c r="B181" s="44" t="s">
        <v>245</v>
      </c>
    </row>
    <row r="182" spans="2:2" x14ac:dyDescent="0.3">
      <c r="B182" s="29"/>
    </row>
    <row r="183" spans="2:2" x14ac:dyDescent="0.3">
      <c r="B183" s="44" t="s">
        <v>246</v>
      </c>
    </row>
    <row r="184" spans="2:2" x14ac:dyDescent="0.3">
      <c r="B184" s="29"/>
    </row>
    <row r="185" spans="2:2" x14ac:dyDescent="0.3">
      <c r="B185" s="44" t="s">
        <v>247</v>
      </c>
    </row>
    <row r="186" spans="2:2" x14ac:dyDescent="0.3">
      <c r="B186" s="29"/>
    </row>
    <row r="187" spans="2:2" x14ac:dyDescent="0.3">
      <c r="B187" s="29" t="s">
        <v>248</v>
      </c>
    </row>
    <row r="188" spans="2:2" x14ac:dyDescent="0.3">
      <c r="B188" s="29"/>
    </row>
    <row r="189" spans="2:2" x14ac:dyDescent="0.3">
      <c r="B189" s="29" t="s">
        <v>249</v>
      </c>
    </row>
    <row r="197" spans="5:7" x14ac:dyDescent="0.3">
      <c r="E197" s="72" t="s">
        <v>14</v>
      </c>
      <c r="F197" s="72" t="s">
        <v>289</v>
      </c>
      <c r="G197" s="72" t="s">
        <v>290</v>
      </c>
    </row>
    <row r="198" spans="5:7" x14ac:dyDescent="0.3">
      <c r="E198" s="72" t="s">
        <v>40</v>
      </c>
      <c r="F198" s="73">
        <v>7003036</v>
      </c>
      <c r="G198" s="73">
        <v>6716960</v>
      </c>
    </row>
    <row r="199" spans="5:7" ht="27.6" x14ac:dyDescent="0.3">
      <c r="E199" s="72" t="s">
        <v>291</v>
      </c>
      <c r="F199" s="73">
        <v>71519</v>
      </c>
      <c r="G199" s="73">
        <v>357595</v>
      </c>
    </row>
    <row r="200" spans="5:7" x14ac:dyDescent="0.3">
      <c r="E200" s="72" t="s">
        <v>21</v>
      </c>
      <c r="F200" s="72" t="s">
        <v>22</v>
      </c>
      <c r="G200" s="72" t="s">
        <v>22</v>
      </c>
    </row>
    <row r="201" spans="5:7" x14ac:dyDescent="0.3">
      <c r="E201" s="72" t="s">
        <v>292</v>
      </c>
      <c r="F201" s="72" t="s">
        <v>293</v>
      </c>
      <c r="G201" s="72" t="s">
        <v>294</v>
      </c>
    </row>
    <row r="202" spans="5:7" x14ac:dyDescent="0.3">
      <c r="E202" s="72" t="s">
        <v>295</v>
      </c>
      <c r="F202" s="72" t="s">
        <v>296</v>
      </c>
      <c r="G202" s="72" t="s">
        <v>296</v>
      </c>
    </row>
    <row r="203" spans="5:7" x14ac:dyDescent="0.3">
      <c r="E203" s="72" t="s">
        <v>297</v>
      </c>
      <c r="F203" s="72" t="s">
        <v>298</v>
      </c>
      <c r="G203" s="72" t="s">
        <v>299</v>
      </c>
    </row>
    <row r="204" spans="5:7" x14ac:dyDescent="0.3">
      <c r="E204" s="72" t="s">
        <v>300</v>
      </c>
      <c r="F204" s="72" t="s">
        <v>301</v>
      </c>
      <c r="G204" s="72" t="s">
        <v>302</v>
      </c>
    </row>
    <row r="205" spans="5:7" x14ac:dyDescent="0.3">
      <c r="E205" s="72" t="s">
        <v>87</v>
      </c>
      <c r="F205" s="72" t="s">
        <v>34</v>
      </c>
      <c r="G205" s="72" t="s">
        <v>34</v>
      </c>
    </row>
    <row r="206" spans="5:7" x14ac:dyDescent="0.3">
      <c r="E206" s="72" t="s">
        <v>303</v>
      </c>
      <c r="F206" s="72" t="s">
        <v>304</v>
      </c>
      <c r="G206" s="72" t="s">
        <v>305</v>
      </c>
    </row>
  </sheetData>
  <mergeCells count="53">
    <mergeCell ref="E87:F87"/>
    <mergeCell ref="E88:F88"/>
    <mergeCell ref="E89:F89"/>
    <mergeCell ref="E90:F90"/>
    <mergeCell ref="E91:F91"/>
    <mergeCell ref="E86:F86"/>
    <mergeCell ref="E48:F48"/>
    <mergeCell ref="E49:F49"/>
    <mergeCell ref="E50:F50"/>
    <mergeCell ref="E79:F79"/>
    <mergeCell ref="E80:F80"/>
    <mergeCell ref="E81:F81"/>
    <mergeCell ref="E82:F82"/>
    <mergeCell ref="E83:F83"/>
    <mergeCell ref="E84:F84"/>
    <mergeCell ref="E85:F85"/>
    <mergeCell ref="D11:G11"/>
    <mergeCell ref="E47:F47"/>
    <mergeCell ref="D14:G14"/>
    <mergeCell ref="E24:F26"/>
    <mergeCell ref="E39:F39"/>
    <mergeCell ref="E38:F38"/>
    <mergeCell ref="E40:F40"/>
    <mergeCell ref="E41:F41"/>
    <mergeCell ref="E30:F30"/>
    <mergeCell ref="E31:F31"/>
    <mergeCell ref="E42:F42"/>
    <mergeCell ref="E43:F43"/>
    <mergeCell ref="E44:F44"/>
    <mergeCell ref="E45:F45"/>
    <mergeCell ref="E46:F46"/>
    <mergeCell ref="E27:F27"/>
    <mergeCell ref="E28:F28"/>
    <mergeCell ref="E29:F29"/>
    <mergeCell ref="E21:F21"/>
    <mergeCell ref="E22:F22"/>
    <mergeCell ref="E23:F23"/>
    <mergeCell ref="B8:C8"/>
    <mergeCell ref="B7:C7"/>
    <mergeCell ref="E19:F19"/>
    <mergeCell ref="E20:F20"/>
    <mergeCell ref="B14:C14"/>
    <mergeCell ref="B9:C9"/>
    <mergeCell ref="B10:C10"/>
    <mergeCell ref="B11:C11"/>
    <mergeCell ref="B12:C12"/>
    <mergeCell ref="B13:C13"/>
    <mergeCell ref="D12:G12"/>
    <mergeCell ref="D13:G13"/>
    <mergeCell ref="D7:G7"/>
    <mergeCell ref="D8:G8"/>
    <mergeCell ref="D9:G9"/>
    <mergeCell ref="D10:G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Case</vt:lpstr>
      <vt:lpstr>Single plant Production</vt:lpstr>
      <vt:lpstr>Component Tariff Impact  </vt:lpstr>
      <vt:lpstr>Tariff Grid (Heat Map) </vt:lpstr>
      <vt:lpstr>Supply Disruption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Kunwar</dc:creator>
  <cp:lastModifiedBy>Poonam Kunwar</cp:lastModifiedBy>
  <dcterms:created xsi:type="dcterms:W3CDTF">2025-11-28T15:20:51Z</dcterms:created>
  <dcterms:modified xsi:type="dcterms:W3CDTF">2025-12-03T04:02:56Z</dcterms:modified>
</cp:coreProperties>
</file>